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m_data" sheetId="1" r:id="rId5"/>
    <sheet state="visible" name="clients_tracker" sheetId="2" r:id="rId6"/>
    <sheet state="visible" name="notes_log" sheetId="3" r:id="rId7"/>
  </sheets>
  <definedNames>
    <definedName hidden="1" localSheetId="0" name="_xlnm._FilterDatabase">crm_data!$A$1:$E$101</definedName>
  </definedNames>
  <calcPr/>
</workbook>
</file>

<file path=xl/sharedStrings.xml><?xml version="1.0" encoding="utf-8"?>
<sst xmlns="http://schemas.openxmlformats.org/spreadsheetml/2006/main" count="27" uniqueCount="17">
  <si>
    <t>client_name</t>
  </si>
  <si>
    <t>status_from_crm</t>
  </si>
  <si>
    <t>channel_from_crm</t>
  </si>
  <si>
    <t>crm_position</t>
  </si>
  <si>
    <t>Дмитро</t>
  </si>
  <si>
    <t>Артем</t>
  </si>
  <si>
    <t>Марта</t>
  </si>
  <si>
    <t>Алла</t>
  </si>
  <si>
    <t>Юрій</t>
  </si>
  <si>
    <t>Кирило</t>
  </si>
  <si>
    <t>Потенційний</t>
  </si>
  <si>
    <t>Зоряна</t>
  </si>
  <si>
    <t>Активний</t>
  </si>
  <si>
    <t>Вікторія</t>
  </si>
  <si>
    <t>Неактивний</t>
  </si>
  <si>
    <t>Арсен</t>
  </si>
  <si>
    <t>Микита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</si>
</sst>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3.38"/>
    <col customWidth="1" min="3" max="3" width="13.75"/>
    <col customWidth="1" min="4" max="4" width="14.88"/>
    <col customWidth="1" min="5" max="5" width="12.63"/>
  </cols>
  <sheetData>
    <row r="1">
      <c r="A1" s="1" t="str">
        <f>IFERROR(__xludf.DUMMYFUNCTION("IMPORTRANGE(""https://docs.google.com/spreadsheets/d/1JA61vI-6je-zfvXewBSeLRLJ7tn_aDncp6iyXTcRkgg/edit?usp=sharing"", ""CRM_Database!A1:E101"")"),"ID")</f>
        <v>ID</v>
      </c>
      <c r="B1" s="1" t="str">
        <f>IFERROR(__xludf.DUMMYFUNCTION("""COMPUTED_VALUE"""),"Ім’я")</f>
        <v>Ім’я</v>
      </c>
      <c r="C1" s="1" t="str">
        <f>IFERROR(__xludf.DUMMYFUNCTION("""COMPUTED_VALUE"""),"Місто")</f>
        <v>Місто</v>
      </c>
      <c r="D1" s="1" t="str">
        <f>IFERROR(__xludf.DUMMYFUNCTION("""COMPUTED_VALUE"""),"Статус")</f>
        <v>Статус</v>
      </c>
      <c r="E1" s="1" t="str">
        <f>IFERROR(__xludf.DUMMYFUNCTION("""COMPUTED_VALUE"""),"Канал")</f>
        <v>Канал</v>
      </c>
    </row>
    <row r="2">
      <c r="A2" s="2">
        <f>IFERROR(__xludf.DUMMYFUNCTION("""COMPUTED_VALUE"""),1001.0)</f>
        <v>1001</v>
      </c>
      <c r="B2" s="2" t="str">
        <f>IFERROR(__xludf.DUMMYFUNCTION("""COMPUTED_VALUE"""),"Марина")</f>
        <v>Марина</v>
      </c>
      <c r="C2" s="2" t="str">
        <f>IFERROR(__xludf.DUMMYFUNCTION("""COMPUTED_VALUE"""),"Київ")</f>
        <v>Київ</v>
      </c>
      <c r="D2" s="2" t="str">
        <f>IFERROR(__xludf.DUMMYFUNCTION("""COMPUTED_VALUE"""),"Активний")</f>
        <v>Активний</v>
      </c>
      <c r="E2" s="2" t="str">
        <f>IFERROR(__xludf.DUMMYFUNCTION("""COMPUTED_VALUE"""),"Instagram")</f>
        <v>Instagram</v>
      </c>
    </row>
    <row r="3">
      <c r="A3" s="2">
        <f>IFERROR(__xludf.DUMMYFUNCTION("""COMPUTED_VALUE"""),1002.0)</f>
        <v>1002</v>
      </c>
      <c r="B3" s="2" t="str">
        <f>IFERROR(__xludf.DUMMYFUNCTION("""COMPUTED_VALUE"""),"Андрій")</f>
        <v>Андрій</v>
      </c>
      <c r="C3" s="2" t="str">
        <f>IFERROR(__xludf.DUMMYFUNCTION("""COMPUTED_VALUE"""),"Львів")</f>
        <v>Львів</v>
      </c>
      <c r="D3" s="2" t="str">
        <f>IFERROR(__xludf.DUMMYFUNCTION("""COMPUTED_VALUE"""),"Потенційний")</f>
        <v>Потенційний</v>
      </c>
      <c r="E3" s="2" t="str">
        <f>IFERROR(__xludf.DUMMYFUNCTION("""COMPUTED_VALUE"""),"Facebook")</f>
        <v>Facebook</v>
      </c>
    </row>
    <row r="4">
      <c r="A4" s="2">
        <f>IFERROR(__xludf.DUMMYFUNCTION("""COMPUTED_VALUE"""),1003.0)</f>
        <v>1003</v>
      </c>
      <c r="B4" s="2" t="str">
        <f>IFERROR(__xludf.DUMMYFUNCTION("""COMPUTED_VALUE"""),"Олена")</f>
        <v>Олена</v>
      </c>
      <c r="C4" s="2" t="str">
        <f>IFERROR(__xludf.DUMMYFUNCTION("""COMPUTED_VALUE"""),"Одеса")</f>
        <v>Одеса</v>
      </c>
      <c r="D4" s="2" t="str">
        <f>IFERROR(__xludf.DUMMYFUNCTION("""COMPUTED_VALUE"""),"Неактивний")</f>
        <v>Неактивний</v>
      </c>
      <c r="E4" s="2" t="str">
        <f>IFERROR(__xludf.DUMMYFUNCTION("""COMPUTED_VALUE"""),"Email")</f>
        <v>Email</v>
      </c>
    </row>
    <row r="5">
      <c r="A5" s="2">
        <f>IFERROR(__xludf.DUMMYFUNCTION("""COMPUTED_VALUE"""),1004.0)</f>
        <v>1004</v>
      </c>
      <c r="B5" s="2" t="str">
        <f>IFERROR(__xludf.DUMMYFUNCTION("""COMPUTED_VALUE"""),"Тетяна")</f>
        <v>Тетяна</v>
      </c>
      <c r="C5" s="2" t="str">
        <f>IFERROR(__xludf.DUMMYFUNCTION("""COMPUTED_VALUE"""),"Харків")</f>
        <v>Харків</v>
      </c>
      <c r="D5" s="2" t="str">
        <f>IFERROR(__xludf.DUMMYFUNCTION("""COMPUTED_VALUE"""),"Активний")</f>
        <v>Активний</v>
      </c>
      <c r="E5" s="2" t="str">
        <f>IFERROR(__xludf.DUMMYFUNCTION("""COMPUTED_VALUE"""),"Google Ads")</f>
        <v>Google Ads</v>
      </c>
    </row>
    <row r="6">
      <c r="A6" s="2">
        <f>IFERROR(__xludf.DUMMYFUNCTION("""COMPUTED_VALUE"""),1005.0)</f>
        <v>1005</v>
      </c>
      <c r="B6" s="2" t="str">
        <f>IFERROR(__xludf.DUMMYFUNCTION("""COMPUTED_VALUE"""),"Дмитро")</f>
        <v>Дмитро</v>
      </c>
      <c r="C6" s="2" t="str">
        <f>IFERROR(__xludf.DUMMYFUNCTION("""COMPUTED_VALUE"""),"Дніпро")</f>
        <v>Дніпро</v>
      </c>
      <c r="D6" s="2" t="str">
        <f>IFERROR(__xludf.DUMMYFUNCTION("""COMPUTED_VALUE"""),"Потенційний")</f>
        <v>Потенційний</v>
      </c>
      <c r="E6" s="2" t="str">
        <f>IFERROR(__xludf.DUMMYFUNCTION("""COMPUTED_VALUE"""),"YouTube")</f>
        <v>YouTube</v>
      </c>
    </row>
    <row r="7">
      <c r="A7" s="2">
        <f>IFERROR(__xludf.DUMMYFUNCTION("""COMPUTED_VALUE"""),1006.0)</f>
        <v>1006</v>
      </c>
      <c r="B7" s="2" t="str">
        <f>IFERROR(__xludf.DUMMYFUNCTION("""COMPUTED_VALUE"""),"Сергій")</f>
        <v>Сергій</v>
      </c>
      <c r="C7" s="2" t="str">
        <f>IFERROR(__xludf.DUMMYFUNCTION("""COMPUTED_VALUE"""),"Вінниця")</f>
        <v>Вінниця</v>
      </c>
      <c r="D7" s="2" t="str">
        <f>IFERROR(__xludf.DUMMYFUNCTION("""COMPUTED_VALUE"""),"Неактивний")</f>
        <v>Неактивний</v>
      </c>
      <c r="E7" s="2" t="str">
        <f>IFERROR(__xludf.DUMMYFUNCTION("""COMPUTED_VALUE"""),"TikTok")</f>
        <v>TikTok</v>
      </c>
    </row>
    <row r="8">
      <c r="A8" s="2">
        <f>IFERROR(__xludf.DUMMYFUNCTION("""COMPUTED_VALUE"""),1007.0)</f>
        <v>1007</v>
      </c>
      <c r="B8" s="2" t="str">
        <f>IFERROR(__xludf.DUMMYFUNCTION("""COMPUTED_VALUE"""),"Юлія")</f>
        <v>Юлія</v>
      </c>
      <c r="C8" s="2" t="str">
        <f>IFERROR(__xludf.DUMMYFUNCTION("""COMPUTED_VALUE"""),"Запоріжжя")</f>
        <v>Запоріжжя</v>
      </c>
      <c r="D8" s="2" t="str">
        <f>IFERROR(__xludf.DUMMYFUNCTION("""COMPUTED_VALUE"""),"Активний")</f>
        <v>Активний</v>
      </c>
      <c r="E8" s="2" t="str">
        <f>IFERROR(__xludf.DUMMYFUNCTION("""COMPUTED_VALUE"""),"Instagram")</f>
        <v>Instagram</v>
      </c>
    </row>
    <row r="9">
      <c r="A9" s="2">
        <f>IFERROR(__xludf.DUMMYFUNCTION("""COMPUTED_VALUE"""),1008.0)</f>
        <v>1008</v>
      </c>
      <c r="B9" s="2" t="str">
        <f>IFERROR(__xludf.DUMMYFUNCTION("""COMPUTED_VALUE"""),"Назар")</f>
        <v>Назар</v>
      </c>
      <c r="C9" s="2" t="str">
        <f>IFERROR(__xludf.DUMMYFUNCTION("""COMPUTED_VALUE"""),"Полтава")</f>
        <v>Полтава</v>
      </c>
      <c r="D9" s="2" t="str">
        <f>IFERROR(__xludf.DUMMYFUNCTION("""COMPUTED_VALUE"""),"Потенційний")</f>
        <v>Потенційний</v>
      </c>
      <c r="E9" s="2" t="str">
        <f>IFERROR(__xludf.DUMMYFUNCTION("""COMPUTED_VALUE"""),"Facebook")</f>
        <v>Facebook</v>
      </c>
    </row>
    <row r="10">
      <c r="A10" s="2">
        <f>IFERROR(__xludf.DUMMYFUNCTION("""COMPUTED_VALUE"""),1009.0)</f>
        <v>1009</v>
      </c>
      <c r="B10" s="2" t="str">
        <f>IFERROR(__xludf.DUMMYFUNCTION("""COMPUTED_VALUE"""),"Ірина")</f>
        <v>Ірина</v>
      </c>
      <c r="C10" s="2" t="str">
        <f>IFERROR(__xludf.DUMMYFUNCTION("""COMPUTED_VALUE"""),"Черкаси")</f>
        <v>Черкаси</v>
      </c>
      <c r="D10" s="2" t="str">
        <f>IFERROR(__xludf.DUMMYFUNCTION("""COMPUTED_VALUE"""),"Неактивний")</f>
        <v>Неактивний</v>
      </c>
      <c r="E10" s="2" t="str">
        <f>IFERROR(__xludf.DUMMYFUNCTION("""COMPUTED_VALUE"""),"Email")</f>
        <v>Email</v>
      </c>
    </row>
    <row r="11">
      <c r="A11" s="2">
        <f>IFERROR(__xludf.DUMMYFUNCTION("""COMPUTED_VALUE"""),1010.0)</f>
        <v>1010</v>
      </c>
      <c r="B11" s="2" t="str">
        <f>IFERROR(__xludf.DUMMYFUNCTION("""COMPUTED_VALUE"""),"Богдан")</f>
        <v>Богдан</v>
      </c>
      <c r="C11" s="2" t="str">
        <f>IFERROR(__xludf.DUMMYFUNCTION("""COMPUTED_VALUE"""),"Ужгород")</f>
        <v>Ужгород</v>
      </c>
      <c r="D11" s="2" t="str">
        <f>IFERROR(__xludf.DUMMYFUNCTION("""COMPUTED_VALUE"""),"Активний")</f>
        <v>Активний</v>
      </c>
      <c r="E11" s="2" t="str">
        <f>IFERROR(__xludf.DUMMYFUNCTION("""COMPUTED_VALUE"""),"Google Ads")</f>
        <v>Google Ads</v>
      </c>
    </row>
    <row r="12">
      <c r="A12" s="2">
        <f>IFERROR(__xludf.DUMMYFUNCTION("""COMPUTED_VALUE"""),1011.0)</f>
        <v>1011</v>
      </c>
      <c r="B12" s="2" t="str">
        <f>IFERROR(__xludf.DUMMYFUNCTION("""COMPUTED_VALUE"""),"Анастасія")</f>
        <v>Анастасія</v>
      </c>
      <c r="C12" s="2" t="str">
        <f>IFERROR(__xludf.DUMMYFUNCTION("""COMPUTED_VALUE"""),"Київ")</f>
        <v>Київ</v>
      </c>
      <c r="D12" s="2" t="str">
        <f>IFERROR(__xludf.DUMMYFUNCTION("""COMPUTED_VALUE"""),"Потенційний")</f>
        <v>Потенційний</v>
      </c>
      <c r="E12" s="2" t="str">
        <f>IFERROR(__xludf.DUMMYFUNCTION("""COMPUTED_VALUE"""),"YouTube")</f>
        <v>YouTube</v>
      </c>
    </row>
    <row r="13">
      <c r="A13" s="2">
        <f>IFERROR(__xludf.DUMMYFUNCTION("""COMPUTED_VALUE"""),1012.0)</f>
        <v>1012</v>
      </c>
      <c r="B13" s="2" t="str">
        <f>IFERROR(__xludf.DUMMYFUNCTION("""COMPUTED_VALUE"""),"Максим")</f>
        <v>Максим</v>
      </c>
      <c r="C13" s="2" t="str">
        <f>IFERROR(__xludf.DUMMYFUNCTION("""COMPUTED_VALUE"""),"Львів")</f>
        <v>Львів</v>
      </c>
      <c r="D13" s="2" t="str">
        <f>IFERROR(__xludf.DUMMYFUNCTION("""COMPUTED_VALUE"""),"Неактивний")</f>
        <v>Неактивний</v>
      </c>
      <c r="E13" s="2" t="str">
        <f>IFERROR(__xludf.DUMMYFUNCTION("""COMPUTED_VALUE"""),"TikTok")</f>
        <v>TikTok</v>
      </c>
    </row>
    <row r="14">
      <c r="A14" s="2">
        <f>IFERROR(__xludf.DUMMYFUNCTION("""COMPUTED_VALUE"""),1013.0)</f>
        <v>1013</v>
      </c>
      <c r="B14" s="2" t="str">
        <f>IFERROR(__xludf.DUMMYFUNCTION("""COMPUTED_VALUE"""),"Анна")</f>
        <v>Анна</v>
      </c>
      <c r="C14" s="2" t="str">
        <f>IFERROR(__xludf.DUMMYFUNCTION("""COMPUTED_VALUE"""),"Одеса")</f>
        <v>Одеса</v>
      </c>
      <c r="D14" s="2" t="str">
        <f>IFERROR(__xludf.DUMMYFUNCTION("""COMPUTED_VALUE"""),"Активний")</f>
        <v>Активний</v>
      </c>
      <c r="E14" s="2" t="str">
        <f>IFERROR(__xludf.DUMMYFUNCTION("""COMPUTED_VALUE"""),"Instagram")</f>
        <v>Instagram</v>
      </c>
    </row>
    <row r="15">
      <c r="A15" s="2">
        <f>IFERROR(__xludf.DUMMYFUNCTION("""COMPUTED_VALUE"""),1014.0)</f>
        <v>1014</v>
      </c>
      <c r="B15" s="2" t="str">
        <f>IFERROR(__xludf.DUMMYFUNCTION("""COMPUTED_VALUE"""),"Артем")</f>
        <v>Артем</v>
      </c>
      <c r="C15" s="2" t="str">
        <f>IFERROR(__xludf.DUMMYFUNCTION("""COMPUTED_VALUE"""),"Харків")</f>
        <v>Харків</v>
      </c>
      <c r="D15" s="2" t="str">
        <f>IFERROR(__xludf.DUMMYFUNCTION("""COMPUTED_VALUE"""),"Потенційний")</f>
        <v>Потенційний</v>
      </c>
      <c r="E15" s="2" t="str">
        <f>IFERROR(__xludf.DUMMYFUNCTION("""COMPUTED_VALUE"""),"Facebook")</f>
        <v>Facebook</v>
      </c>
    </row>
    <row r="16">
      <c r="A16" s="2">
        <f>IFERROR(__xludf.DUMMYFUNCTION("""COMPUTED_VALUE"""),1015.0)</f>
        <v>1015</v>
      </c>
      <c r="B16" s="2" t="str">
        <f>IFERROR(__xludf.DUMMYFUNCTION("""COMPUTED_VALUE"""),"Олександр")</f>
        <v>Олександр</v>
      </c>
      <c r="C16" s="2" t="str">
        <f>IFERROR(__xludf.DUMMYFUNCTION("""COMPUTED_VALUE"""),"Дніпро")</f>
        <v>Дніпро</v>
      </c>
      <c r="D16" s="2" t="str">
        <f>IFERROR(__xludf.DUMMYFUNCTION("""COMPUTED_VALUE"""),"Неактивний")</f>
        <v>Неактивний</v>
      </c>
      <c r="E16" s="2" t="str">
        <f>IFERROR(__xludf.DUMMYFUNCTION("""COMPUTED_VALUE"""),"Email")</f>
        <v>Email</v>
      </c>
    </row>
    <row r="17">
      <c r="A17" s="2">
        <f>IFERROR(__xludf.DUMMYFUNCTION("""COMPUTED_VALUE"""),1016.0)</f>
        <v>1016</v>
      </c>
      <c r="B17" s="2" t="str">
        <f>IFERROR(__xludf.DUMMYFUNCTION("""COMPUTED_VALUE"""),"Катерина")</f>
        <v>Катерина</v>
      </c>
      <c r="C17" s="2" t="str">
        <f>IFERROR(__xludf.DUMMYFUNCTION("""COMPUTED_VALUE"""),"Вінниця")</f>
        <v>Вінниця</v>
      </c>
      <c r="D17" s="2" t="str">
        <f>IFERROR(__xludf.DUMMYFUNCTION("""COMPUTED_VALUE"""),"Активний")</f>
        <v>Активний</v>
      </c>
      <c r="E17" s="2" t="str">
        <f>IFERROR(__xludf.DUMMYFUNCTION("""COMPUTED_VALUE"""),"Google Ads")</f>
        <v>Google Ads</v>
      </c>
    </row>
    <row r="18">
      <c r="A18" s="2">
        <f>IFERROR(__xludf.DUMMYFUNCTION("""COMPUTED_VALUE"""),1017.0)</f>
        <v>1017</v>
      </c>
      <c r="B18" s="2" t="str">
        <f>IFERROR(__xludf.DUMMYFUNCTION("""COMPUTED_VALUE"""),"Віктор")</f>
        <v>Віктор</v>
      </c>
      <c r="C18" s="2" t="str">
        <f>IFERROR(__xludf.DUMMYFUNCTION("""COMPUTED_VALUE"""),"Запоріжжя")</f>
        <v>Запоріжжя</v>
      </c>
      <c r="D18" s="2" t="str">
        <f>IFERROR(__xludf.DUMMYFUNCTION("""COMPUTED_VALUE"""),"Потенційний")</f>
        <v>Потенційний</v>
      </c>
      <c r="E18" s="2" t="str">
        <f>IFERROR(__xludf.DUMMYFUNCTION("""COMPUTED_VALUE"""),"YouTube")</f>
        <v>YouTube</v>
      </c>
    </row>
    <row r="19">
      <c r="A19" s="2">
        <f>IFERROR(__xludf.DUMMYFUNCTION("""COMPUTED_VALUE"""),1018.0)</f>
        <v>1018</v>
      </c>
      <c r="B19" s="2" t="str">
        <f>IFERROR(__xludf.DUMMYFUNCTION("""COMPUTED_VALUE"""),"Алла")</f>
        <v>Алла</v>
      </c>
      <c r="C19" s="2" t="str">
        <f>IFERROR(__xludf.DUMMYFUNCTION("""COMPUTED_VALUE"""),"Полтава")</f>
        <v>Полтава</v>
      </c>
      <c r="D19" s="2" t="str">
        <f>IFERROR(__xludf.DUMMYFUNCTION("""COMPUTED_VALUE"""),"Неактивний")</f>
        <v>Неактивний</v>
      </c>
      <c r="E19" s="2" t="str">
        <f>IFERROR(__xludf.DUMMYFUNCTION("""COMPUTED_VALUE"""),"TikTok")</f>
        <v>TikTok</v>
      </c>
    </row>
    <row r="20">
      <c r="A20" s="2">
        <f>IFERROR(__xludf.DUMMYFUNCTION("""COMPUTED_VALUE"""),1019.0)</f>
        <v>1019</v>
      </c>
      <c r="B20" s="2" t="str">
        <f>IFERROR(__xludf.DUMMYFUNCTION("""COMPUTED_VALUE"""),"Ярослав")</f>
        <v>Ярослав</v>
      </c>
      <c r="C20" s="2" t="str">
        <f>IFERROR(__xludf.DUMMYFUNCTION("""COMPUTED_VALUE"""),"Черкаси")</f>
        <v>Черкаси</v>
      </c>
      <c r="D20" s="2" t="str">
        <f>IFERROR(__xludf.DUMMYFUNCTION("""COMPUTED_VALUE"""),"Активний")</f>
        <v>Активний</v>
      </c>
      <c r="E20" s="2" t="str">
        <f>IFERROR(__xludf.DUMMYFUNCTION("""COMPUTED_VALUE"""),"Instagram")</f>
        <v>Instagram</v>
      </c>
    </row>
    <row r="21">
      <c r="A21" s="2">
        <f>IFERROR(__xludf.DUMMYFUNCTION("""COMPUTED_VALUE"""),1020.0)</f>
        <v>1020</v>
      </c>
      <c r="B21" s="2" t="str">
        <f>IFERROR(__xludf.DUMMYFUNCTION("""COMPUTED_VALUE"""),"Роман")</f>
        <v>Роман</v>
      </c>
      <c r="C21" s="2" t="str">
        <f>IFERROR(__xludf.DUMMYFUNCTION("""COMPUTED_VALUE"""),"Ужгород")</f>
        <v>Ужгород</v>
      </c>
      <c r="D21" s="2" t="str">
        <f>IFERROR(__xludf.DUMMYFUNCTION("""COMPUTED_VALUE"""),"Потенційний")</f>
        <v>Потенційний</v>
      </c>
      <c r="E21" s="2" t="str">
        <f>IFERROR(__xludf.DUMMYFUNCTION("""COMPUTED_VALUE"""),"Facebook")</f>
        <v>Facebook</v>
      </c>
    </row>
    <row r="22">
      <c r="A22" s="2">
        <f>IFERROR(__xludf.DUMMYFUNCTION("""COMPUTED_VALUE"""),1021.0)</f>
        <v>1021</v>
      </c>
      <c r="B22" s="2" t="str">
        <f>IFERROR(__xludf.DUMMYFUNCTION("""COMPUTED_VALUE"""),"Олег")</f>
        <v>Олег</v>
      </c>
      <c r="C22" s="2" t="str">
        <f>IFERROR(__xludf.DUMMYFUNCTION("""COMPUTED_VALUE"""),"Київ")</f>
        <v>Київ</v>
      </c>
      <c r="D22" s="2" t="str">
        <f>IFERROR(__xludf.DUMMYFUNCTION("""COMPUTED_VALUE"""),"Неактивний")</f>
        <v>Неактивний</v>
      </c>
      <c r="E22" s="2" t="str">
        <f>IFERROR(__xludf.DUMMYFUNCTION("""COMPUTED_VALUE"""),"Email")</f>
        <v>Email</v>
      </c>
    </row>
    <row r="23">
      <c r="A23" s="2">
        <f>IFERROR(__xludf.DUMMYFUNCTION("""COMPUTED_VALUE"""),1022.0)</f>
        <v>1022</v>
      </c>
      <c r="B23" s="2" t="str">
        <f>IFERROR(__xludf.DUMMYFUNCTION("""COMPUTED_VALUE"""),"Світлана")</f>
        <v>Світлана</v>
      </c>
      <c r="C23" s="2" t="str">
        <f>IFERROR(__xludf.DUMMYFUNCTION("""COMPUTED_VALUE"""),"Львів")</f>
        <v>Львів</v>
      </c>
      <c r="D23" s="2" t="str">
        <f>IFERROR(__xludf.DUMMYFUNCTION("""COMPUTED_VALUE"""),"Активний")</f>
        <v>Активний</v>
      </c>
      <c r="E23" s="2" t="str">
        <f>IFERROR(__xludf.DUMMYFUNCTION("""COMPUTED_VALUE"""),"Google Ads")</f>
        <v>Google Ads</v>
      </c>
    </row>
    <row r="24">
      <c r="A24" s="2">
        <f>IFERROR(__xludf.DUMMYFUNCTION("""COMPUTED_VALUE"""),1023.0)</f>
        <v>1023</v>
      </c>
      <c r="B24" s="2" t="str">
        <f>IFERROR(__xludf.DUMMYFUNCTION("""COMPUTED_VALUE"""),"Жанна")</f>
        <v>Жанна</v>
      </c>
      <c r="C24" s="2" t="str">
        <f>IFERROR(__xludf.DUMMYFUNCTION("""COMPUTED_VALUE"""),"Одеса")</f>
        <v>Одеса</v>
      </c>
      <c r="D24" s="2" t="str">
        <f>IFERROR(__xludf.DUMMYFUNCTION("""COMPUTED_VALUE"""),"Потенційний")</f>
        <v>Потенційний</v>
      </c>
      <c r="E24" s="2" t="str">
        <f>IFERROR(__xludf.DUMMYFUNCTION("""COMPUTED_VALUE"""),"YouTube")</f>
        <v>YouTube</v>
      </c>
    </row>
    <row r="25">
      <c r="A25" s="2">
        <f>IFERROR(__xludf.DUMMYFUNCTION("""COMPUTED_VALUE"""),1024.0)</f>
        <v>1024</v>
      </c>
      <c r="B25" s="2" t="str">
        <f>IFERROR(__xludf.DUMMYFUNCTION("""COMPUTED_VALUE"""),"Ігор")</f>
        <v>Ігор</v>
      </c>
      <c r="C25" s="2" t="str">
        <f>IFERROR(__xludf.DUMMYFUNCTION("""COMPUTED_VALUE"""),"Харків")</f>
        <v>Харків</v>
      </c>
      <c r="D25" s="2" t="str">
        <f>IFERROR(__xludf.DUMMYFUNCTION("""COMPUTED_VALUE"""),"Неактивний")</f>
        <v>Неактивний</v>
      </c>
      <c r="E25" s="2" t="str">
        <f>IFERROR(__xludf.DUMMYFUNCTION("""COMPUTED_VALUE"""),"TikTok")</f>
        <v>TikTok</v>
      </c>
    </row>
    <row r="26">
      <c r="A26" s="2">
        <f>IFERROR(__xludf.DUMMYFUNCTION("""COMPUTED_VALUE"""),1025.0)</f>
        <v>1025</v>
      </c>
      <c r="B26" s="2" t="str">
        <f>IFERROR(__xludf.DUMMYFUNCTION("""COMPUTED_VALUE"""),"Зоряна")</f>
        <v>Зоряна</v>
      </c>
      <c r="C26" s="2" t="str">
        <f>IFERROR(__xludf.DUMMYFUNCTION("""COMPUTED_VALUE"""),"Дніпро")</f>
        <v>Дніпро</v>
      </c>
      <c r="D26" s="2" t="str">
        <f>IFERROR(__xludf.DUMMYFUNCTION("""COMPUTED_VALUE"""),"Активний")</f>
        <v>Активний</v>
      </c>
      <c r="E26" s="2" t="str">
        <f>IFERROR(__xludf.DUMMYFUNCTION("""COMPUTED_VALUE"""),"Instagram")</f>
        <v>Instagram</v>
      </c>
    </row>
    <row r="27">
      <c r="A27" s="2">
        <f>IFERROR(__xludf.DUMMYFUNCTION("""COMPUTED_VALUE"""),1026.0)</f>
        <v>1026</v>
      </c>
      <c r="B27" s="2" t="str">
        <f>IFERROR(__xludf.DUMMYFUNCTION("""COMPUTED_VALUE"""),"Руслан")</f>
        <v>Руслан</v>
      </c>
      <c r="C27" s="2" t="str">
        <f>IFERROR(__xludf.DUMMYFUNCTION("""COMPUTED_VALUE"""),"Вінниця")</f>
        <v>Вінниця</v>
      </c>
      <c r="D27" s="2" t="str">
        <f>IFERROR(__xludf.DUMMYFUNCTION("""COMPUTED_VALUE"""),"Потенційний")</f>
        <v>Потенційний</v>
      </c>
      <c r="E27" s="2" t="str">
        <f>IFERROR(__xludf.DUMMYFUNCTION("""COMPUTED_VALUE"""),"Facebook")</f>
        <v>Facebook</v>
      </c>
    </row>
    <row r="28">
      <c r="A28" s="2">
        <f>IFERROR(__xludf.DUMMYFUNCTION("""COMPUTED_VALUE"""),1027.0)</f>
        <v>1027</v>
      </c>
      <c r="B28" s="2" t="str">
        <f>IFERROR(__xludf.DUMMYFUNCTION("""COMPUTED_VALUE"""),"Марта")</f>
        <v>Марта</v>
      </c>
      <c r="C28" s="2" t="str">
        <f>IFERROR(__xludf.DUMMYFUNCTION("""COMPUTED_VALUE"""),"Запоріжжя")</f>
        <v>Запоріжжя</v>
      </c>
      <c r="D28" s="2" t="str">
        <f>IFERROR(__xludf.DUMMYFUNCTION("""COMPUTED_VALUE"""),"Неактивний")</f>
        <v>Неактивний</v>
      </c>
      <c r="E28" s="2" t="str">
        <f>IFERROR(__xludf.DUMMYFUNCTION("""COMPUTED_VALUE"""),"Email")</f>
        <v>Email</v>
      </c>
    </row>
    <row r="29">
      <c r="A29" s="2">
        <f>IFERROR(__xludf.DUMMYFUNCTION("""COMPUTED_VALUE"""),1028.0)</f>
        <v>1028</v>
      </c>
      <c r="B29" s="2" t="str">
        <f>IFERROR(__xludf.DUMMYFUNCTION("""COMPUTED_VALUE"""),"Микита")</f>
        <v>Микита</v>
      </c>
      <c r="C29" s="2" t="str">
        <f>IFERROR(__xludf.DUMMYFUNCTION("""COMPUTED_VALUE"""),"Полтава")</f>
        <v>Полтава</v>
      </c>
      <c r="D29" s="2" t="str">
        <f>IFERROR(__xludf.DUMMYFUNCTION("""COMPUTED_VALUE"""),"Активний")</f>
        <v>Активний</v>
      </c>
      <c r="E29" s="2" t="str">
        <f>IFERROR(__xludf.DUMMYFUNCTION("""COMPUTED_VALUE"""),"Google Ads")</f>
        <v>Google Ads</v>
      </c>
    </row>
    <row r="30">
      <c r="A30" s="2">
        <f>IFERROR(__xludf.DUMMYFUNCTION("""COMPUTED_VALUE"""),1029.0)</f>
        <v>1029</v>
      </c>
      <c r="B30" s="2" t="str">
        <f>IFERROR(__xludf.DUMMYFUNCTION("""COMPUTED_VALUE"""),"Дарина")</f>
        <v>Дарина</v>
      </c>
      <c r="C30" s="2" t="str">
        <f>IFERROR(__xludf.DUMMYFUNCTION("""COMPUTED_VALUE"""),"Черкаси")</f>
        <v>Черкаси</v>
      </c>
      <c r="D30" s="2" t="str">
        <f>IFERROR(__xludf.DUMMYFUNCTION("""COMPUTED_VALUE"""),"Потенційний")</f>
        <v>Потенційний</v>
      </c>
      <c r="E30" s="2" t="str">
        <f>IFERROR(__xludf.DUMMYFUNCTION("""COMPUTED_VALUE"""),"YouTube")</f>
        <v>YouTube</v>
      </c>
    </row>
    <row r="31">
      <c r="A31" s="2">
        <f>IFERROR(__xludf.DUMMYFUNCTION("""COMPUTED_VALUE"""),1030.0)</f>
        <v>1030</v>
      </c>
      <c r="B31" s="2" t="str">
        <f>IFERROR(__xludf.DUMMYFUNCTION("""COMPUTED_VALUE"""),"Євген")</f>
        <v>Євген</v>
      </c>
      <c r="C31" s="2" t="str">
        <f>IFERROR(__xludf.DUMMYFUNCTION("""COMPUTED_VALUE"""),"Ужгород")</f>
        <v>Ужгород</v>
      </c>
      <c r="D31" s="2" t="str">
        <f>IFERROR(__xludf.DUMMYFUNCTION("""COMPUTED_VALUE"""),"Неактивний")</f>
        <v>Неактивний</v>
      </c>
      <c r="E31" s="2" t="str">
        <f>IFERROR(__xludf.DUMMYFUNCTION("""COMPUTED_VALUE"""),"TikTok")</f>
        <v>TikTok</v>
      </c>
    </row>
    <row r="32">
      <c r="A32" s="2">
        <f>IFERROR(__xludf.DUMMYFUNCTION("""COMPUTED_VALUE"""),1031.0)</f>
        <v>1031</v>
      </c>
      <c r="B32" s="2" t="str">
        <f>IFERROR(__xludf.DUMMYFUNCTION("""COMPUTED_VALUE"""),"Наталія")</f>
        <v>Наталія</v>
      </c>
      <c r="C32" s="2" t="str">
        <f>IFERROR(__xludf.DUMMYFUNCTION("""COMPUTED_VALUE"""),"Київ")</f>
        <v>Київ</v>
      </c>
      <c r="D32" s="2" t="str">
        <f>IFERROR(__xludf.DUMMYFUNCTION("""COMPUTED_VALUE"""),"Активний")</f>
        <v>Активний</v>
      </c>
      <c r="E32" s="2" t="str">
        <f>IFERROR(__xludf.DUMMYFUNCTION("""COMPUTED_VALUE"""),"Instagram")</f>
        <v>Instagram</v>
      </c>
    </row>
    <row r="33">
      <c r="A33" s="2">
        <f>IFERROR(__xludf.DUMMYFUNCTION("""COMPUTED_VALUE"""),1032.0)</f>
        <v>1032</v>
      </c>
      <c r="B33" s="2" t="str">
        <f>IFERROR(__xludf.DUMMYFUNCTION("""COMPUTED_VALUE"""),"Владислав")</f>
        <v>Владислав</v>
      </c>
      <c r="C33" s="2" t="str">
        <f>IFERROR(__xludf.DUMMYFUNCTION("""COMPUTED_VALUE"""),"Львів")</f>
        <v>Львів</v>
      </c>
      <c r="D33" s="2" t="str">
        <f>IFERROR(__xludf.DUMMYFUNCTION("""COMPUTED_VALUE"""),"Потенційний")</f>
        <v>Потенційний</v>
      </c>
      <c r="E33" s="2" t="str">
        <f>IFERROR(__xludf.DUMMYFUNCTION("""COMPUTED_VALUE"""),"Facebook")</f>
        <v>Facebook</v>
      </c>
    </row>
    <row r="34">
      <c r="A34" s="2">
        <f>IFERROR(__xludf.DUMMYFUNCTION("""COMPUTED_VALUE"""),1033.0)</f>
        <v>1033</v>
      </c>
      <c r="B34" s="2" t="str">
        <f>IFERROR(__xludf.DUMMYFUNCTION("""COMPUTED_VALUE"""),"Софія")</f>
        <v>Софія</v>
      </c>
      <c r="C34" s="2" t="str">
        <f>IFERROR(__xludf.DUMMYFUNCTION("""COMPUTED_VALUE"""),"Одеса")</f>
        <v>Одеса</v>
      </c>
      <c r="D34" s="2" t="str">
        <f>IFERROR(__xludf.DUMMYFUNCTION("""COMPUTED_VALUE"""),"Неактивний")</f>
        <v>Неактивний</v>
      </c>
      <c r="E34" s="2" t="str">
        <f>IFERROR(__xludf.DUMMYFUNCTION("""COMPUTED_VALUE"""),"Email")</f>
        <v>Email</v>
      </c>
    </row>
    <row r="35">
      <c r="A35" s="2">
        <f>IFERROR(__xludf.DUMMYFUNCTION("""COMPUTED_VALUE"""),1034.0)</f>
        <v>1034</v>
      </c>
      <c r="B35" s="2" t="str">
        <f>IFERROR(__xludf.DUMMYFUNCTION("""COMPUTED_VALUE"""),"Ілля")</f>
        <v>Ілля</v>
      </c>
      <c r="C35" s="2" t="str">
        <f>IFERROR(__xludf.DUMMYFUNCTION("""COMPUTED_VALUE"""),"Харків")</f>
        <v>Харків</v>
      </c>
      <c r="D35" s="2" t="str">
        <f>IFERROR(__xludf.DUMMYFUNCTION("""COMPUTED_VALUE"""),"Активний")</f>
        <v>Активний</v>
      </c>
      <c r="E35" s="2" t="str">
        <f>IFERROR(__xludf.DUMMYFUNCTION("""COMPUTED_VALUE"""),"Google Ads")</f>
        <v>Google Ads</v>
      </c>
    </row>
    <row r="36">
      <c r="A36" s="2">
        <f>IFERROR(__xludf.DUMMYFUNCTION("""COMPUTED_VALUE"""),1035.0)</f>
        <v>1035</v>
      </c>
      <c r="B36" s="2" t="str">
        <f>IFERROR(__xludf.DUMMYFUNCTION("""COMPUTED_VALUE"""),"Тимур")</f>
        <v>Тимур</v>
      </c>
      <c r="C36" s="2" t="str">
        <f>IFERROR(__xludf.DUMMYFUNCTION("""COMPUTED_VALUE"""),"Дніпро")</f>
        <v>Дніпро</v>
      </c>
      <c r="D36" s="2" t="str">
        <f>IFERROR(__xludf.DUMMYFUNCTION("""COMPUTED_VALUE"""),"Потенційний")</f>
        <v>Потенційний</v>
      </c>
      <c r="E36" s="2" t="str">
        <f>IFERROR(__xludf.DUMMYFUNCTION("""COMPUTED_VALUE"""),"YouTube")</f>
        <v>YouTube</v>
      </c>
    </row>
    <row r="37">
      <c r="A37" s="2">
        <f>IFERROR(__xludf.DUMMYFUNCTION("""COMPUTED_VALUE"""),1036.0)</f>
        <v>1036</v>
      </c>
      <c r="B37" s="2" t="str">
        <f>IFERROR(__xludf.DUMMYFUNCTION("""COMPUTED_VALUE"""),"Вероніка")</f>
        <v>Вероніка</v>
      </c>
      <c r="C37" s="2" t="str">
        <f>IFERROR(__xludf.DUMMYFUNCTION("""COMPUTED_VALUE"""),"Вінниця")</f>
        <v>Вінниця</v>
      </c>
      <c r="D37" s="2" t="str">
        <f>IFERROR(__xludf.DUMMYFUNCTION("""COMPUTED_VALUE"""),"Неактивний")</f>
        <v>Неактивний</v>
      </c>
      <c r="E37" s="2" t="str">
        <f>IFERROR(__xludf.DUMMYFUNCTION("""COMPUTED_VALUE"""),"TikTok")</f>
        <v>TikTok</v>
      </c>
    </row>
    <row r="38">
      <c r="A38" s="2">
        <f>IFERROR(__xludf.DUMMYFUNCTION("""COMPUTED_VALUE"""),1037.0)</f>
        <v>1037</v>
      </c>
      <c r="B38" s="2" t="str">
        <f>IFERROR(__xludf.DUMMYFUNCTION("""COMPUTED_VALUE"""),"Леся")</f>
        <v>Леся</v>
      </c>
      <c r="C38" s="2" t="str">
        <f>IFERROR(__xludf.DUMMYFUNCTION("""COMPUTED_VALUE"""),"Запоріжжя")</f>
        <v>Запоріжжя</v>
      </c>
      <c r="D38" s="2" t="str">
        <f>IFERROR(__xludf.DUMMYFUNCTION("""COMPUTED_VALUE"""),"Активний")</f>
        <v>Активний</v>
      </c>
      <c r="E38" s="2" t="str">
        <f>IFERROR(__xludf.DUMMYFUNCTION("""COMPUTED_VALUE"""),"Instagram")</f>
        <v>Instagram</v>
      </c>
    </row>
    <row r="39">
      <c r="A39" s="2">
        <f>IFERROR(__xludf.DUMMYFUNCTION("""COMPUTED_VALUE"""),1038.0)</f>
        <v>1038</v>
      </c>
      <c r="B39" s="2" t="str">
        <f>IFERROR(__xludf.DUMMYFUNCTION("""COMPUTED_VALUE"""),"Павло")</f>
        <v>Павло</v>
      </c>
      <c r="C39" s="2" t="str">
        <f>IFERROR(__xludf.DUMMYFUNCTION("""COMPUTED_VALUE"""),"Полтава")</f>
        <v>Полтава</v>
      </c>
      <c r="D39" s="2" t="str">
        <f>IFERROR(__xludf.DUMMYFUNCTION("""COMPUTED_VALUE"""),"Потенційний")</f>
        <v>Потенційний</v>
      </c>
      <c r="E39" s="2" t="str">
        <f>IFERROR(__xludf.DUMMYFUNCTION("""COMPUTED_VALUE"""),"Facebook")</f>
        <v>Facebook</v>
      </c>
    </row>
    <row r="40">
      <c r="A40" s="2">
        <f>IFERROR(__xludf.DUMMYFUNCTION("""COMPUTED_VALUE"""),1039.0)</f>
        <v>1039</v>
      </c>
      <c r="B40" s="2" t="str">
        <f>IFERROR(__xludf.DUMMYFUNCTION("""COMPUTED_VALUE"""),"Яна")</f>
        <v>Яна</v>
      </c>
      <c r="C40" s="2" t="str">
        <f>IFERROR(__xludf.DUMMYFUNCTION("""COMPUTED_VALUE"""),"Черкаси")</f>
        <v>Черкаси</v>
      </c>
      <c r="D40" s="2" t="str">
        <f>IFERROR(__xludf.DUMMYFUNCTION("""COMPUTED_VALUE"""),"Неактивний")</f>
        <v>Неактивний</v>
      </c>
      <c r="E40" s="2" t="str">
        <f>IFERROR(__xludf.DUMMYFUNCTION("""COMPUTED_VALUE"""),"Email")</f>
        <v>Email</v>
      </c>
    </row>
    <row r="41">
      <c r="A41" s="2">
        <f>IFERROR(__xludf.DUMMYFUNCTION("""COMPUTED_VALUE"""),1040.0)</f>
        <v>1040</v>
      </c>
      <c r="B41" s="2" t="str">
        <f>IFERROR(__xludf.DUMMYFUNCTION("""COMPUTED_VALUE"""),"Олеся")</f>
        <v>Олеся</v>
      </c>
      <c r="C41" s="2" t="str">
        <f>IFERROR(__xludf.DUMMYFUNCTION("""COMPUTED_VALUE"""),"Ужгород")</f>
        <v>Ужгород</v>
      </c>
      <c r="D41" s="2" t="str">
        <f>IFERROR(__xludf.DUMMYFUNCTION("""COMPUTED_VALUE"""),"Активний")</f>
        <v>Активний</v>
      </c>
      <c r="E41" s="2" t="str">
        <f>IFERROR(__xludf.DUMMYFUNCTION("""COMPUTED_VALUE"""),"Google Ads")</f>
        <v>Google Ads</v>
      </c>
    </row>
    <row r="42">
      <c r="A42" s="2">
        <f>IFERROR(__xludf.DUMMYFUNCTION("""COMPUTED_VALUE"""),1041.0)</f>
        <v>1041</v>
      </c>
      <c r="B42" s="2" t="str">
        <f>IFERROR(__xludf.DUMMYFUNCTION("""COMPUTED_VALUE"""),"Арсен")</f>
        <v>Арсен</v>
      </c>
      <c r="C42" s="2" t="str">
        <f>IFERROR(__xludf.DUMMYFUNCTION("""COMPUTED_VALUE"""),"Київ")</f>
        <v>Київ</v>
      </c>
      <c r="D42" s="2" t="str">
        <f>IFERROR(__xludf.DUMMYFUNCTION("""COMPUTED_VALUE"""),"Потенційний")</f>
        <v>Потенційний</v>
      </c>
      <c r="E42" s="2" t="str">
        <f>IFERROR(__xludf.DUMMYFUNCTION("""COMPUTED_VALUE"""),"YouTube")</f>
        <v>YouTube</v>
      </c>
    </row>
    <row r="43">
      <c r="A43" s="2">
        <f>IFERROR(__xludf.DUMMYFUNCTION("""COMPUTED_VALUE"""),1042.0)</f>
        <v>1042</v>
      </c>
      <c r="B43" s="2" t="str">
        <f>IFERROR(__xludf.DUMMYFUNCTION("""COMPUTED_VALUE"""),"Вікторія")</f>
        <v>Вікторія</v>
      </c>
      <c r="C43" s="2" t="str">
        <f>IFERROR(__xludf.DUMMYFUNCTION("""COMPUTED_VALUE"""),"Львів")</f>
        <v>Львів</v>
      </c>
      <c r="D43" s="2" t="str">
        <f>IFERROR(__xludf.DUMMYFUNCTION("""COMPUTED_VALUE"""),"Неактивний")</f>
        <v>Неактивний</v>
      </c>
      <c r="E43" s="2" t="str">
        <f>IFERROR(__xludf.DUMMYFUNCTION("""COMPUTED_VALUE"""),"TikTok")</f>
        <v>TikTok</v>
      </c>
    </row>
    <row r="44">
      <c r="A44" s="2">
        <f>IFERROR(__xludf.DUMMYFUNCTION("""COMPUTED_VALUE"""),1043.0)</f>
        <v>1043</v>
      </c>
      <c r="B44" s="2" t="str">
        <f>IFERROR(__xludf.DUMMYFUNCTION("""COMPUTED_VALUE"""),"Аліна")</f>
        <v>Аліна</v>
      </c>
      <c r="C44" s="2" t="str">
        <f>IFERROR(__xludf.DUMMYFUNCTION("""COMPUTED_VALUE"""),"Одеса")</f>
        <v>Одеса</v>
      </c>
      <c r="D44" s="2" t="str">
        <f>IFERROR(__xludf.DUMMYFUNCTION("""COMPUTED_VALUE"""),"Активний")</f>
        <v>Активний</v>
      </c>
      <c r="E44" s="2" t="str">
        <f>IFERROR(__xludf.DUMMYFUNCTION("""COMPUTED_VALUE"""),"Instagram")</f>
        <v>Instagram</v>
      </c>
    </row>
    <row r="45">
      <c r="A45" s="2">
        <f>IFERROR(__xludf.DUMMYFUNCTION("""COMPUTED_VALUE"""),1044.0)</f>
        <v>1044</v>
      </c>
      <c r="B45" s="2" t="str">
        <f>IFERROR(__xludf.DUMMYFUNCTION("""COMPUTED_VALUE"""),"Данило")</f>
        <v>Данило</v>
      </c>
      <c r="C45" s="2" t="str">
        <f>IFERROR(__xludf.DUMMYFUNCTION("""COMPUTED_VALUE"""),"Харків")</f>
        <v>Харків</v>
      </c>
      <c r="D45" s="2" t="str">
        <f>IFERROR(__xludf.DUMMYFUNCTION("""COMPUTED_VALUE"""),"Потенційний")</f>
        <v>Потенційний</v>
      </c>
      <c r="E45" s="2" t="str">
        <f>IFERROR(__xludf.DUMMYFUNCTION("""COMPUTED_VALUE"""),"Facebook")</f>
        <v>Facebook</v>
      </c>
    </row>
    <row r="46">
      <c r="A46" s="2">
        <f>IFERROR(__xludf.DUMMYFUNCTION("""COMPUTED_VALUE"""),1045.0)</f>
        <v>1045</v>
      </c>
      <c r="B46" s="2" t="str">
        <f>IFERROR(__xludf.DUMMYFUNCTION("""COMPUTED_VALUE"""),"Станіслав")</f>
        <v>Станіслав</v>
      </c>
      <c r="C46" s="2" t="str">
        <f>IFERROR(__xludf.DUMMYFUNCTION("""COMPUTED_VALUE"""),"Дніпро")</f>
        <v>Дніпро</v>
      </c>
      <c r="D46" s="2" t="str">
        <f>IFERROR(__xludf.DUMMYFUNCTION("""COMPUTED_VALUE"""),"Неактивний")</f>
        <v>Неактивний</v>
      </c>
      <c r="E46" s="2" t="str">
        <f>IFERROR(__xludf.DUMMYFUNCTION("""COMPUTED_VALUE"""),"Email")</f>
        <v>Email</v>
      </c>
    </row>
    <row r="47">
      <c r="A47" s="2">
        <f>IFERROR(__xludf.DUMMYFUNCTION("""COMPUTED_VALUE"""),1046.0)</f>
        <v>1046</v>
      </c>
      <c r="B47" s="2" t="str">
        <f>IFERROR(__xludf.DUMMYFUNCTION("""COMPUTED_VALUE"""),"Юрій")</f>
        <v>Юрій</v>
      </c>
      <c r="C47" s="2" t="str">
        <f>IFERROR(__xludf.DUMMYFUNCTION("""COMPUTED_VALUE"""),"Вінниця")</f>
        <v>Вінниця</v>
      </c>
      <c r="D47" s="2" t="str">
        <f>IFERROR(__xludf.DUMMYFUNCTION("""COMPUTED_VALUE"""),"Активний")</f>
        <v>Активний</v>
      </c>
      <c r="E47" s="2" t="str">
        <f>IFERROR(__xludf.DUMMYFUNCTION("""COMPUTED_VALUE"""),"Google Ads")</f>
        <v>Google Ads</v>
      </c>
    </row>
    <row r="48">
      <c r="A48" s="2">
        <f>IFERROR(__xludf.DUMMYFUNCTION("""COMPUTED_VALUE"""),1047.0)</f>
        <v>1047</v>
      </c>
      <c r="B48" s="2" t="str">
        <f>IFERROR(__xludf.DUMMYFUNCTION("""COMPUTED_VALUE"""),"Ніна")</f>
        <v>Ніна</v>
      </c>
      <c r="C48" s="2" t="str">
        <f>IFERROR(__xludf.DUMMYFUNCTION("""COMPUTED_VALUE"""),"Запоріжжя")</f>
        <v>Запоріжжя</v>
      </c>
      <c r="D48" s="2" t="str">
        <f>IFERROR(__xludf.DUMMYFUNCTION("""COMPUTED_VALUE"""),"Потенційний")</f>
        <v>Потенційний</v>
      </c>
      <c r="E48" s="2" t="str">
        <f>IFERROR(__xludf.DUMMYFUNCTION("""COMPUTED_VALUE"""),"YouTube")</f>
        <v>YouTube</v>
      </c>
    </row>
    <row r="49">
      <c r="A49" s="2">
        <f>IFERROR(__xludf.DUMMYFUNCTION("""COMPUTED_VALUE"""),1048.0)</f>
        <v>1048</v>
      </c>
      <c r="B49" s="2" t="str">
        <f>IFERROR(__xludf.DUMMYFUNCTION("""COMPUTED_VALUE"""),"Валентина")</f>
        <v>Валентина</v>
      </c>
      <c r="C49" s="2" t="str">
        <f>IFERROR(__xludf.DUMMYFUNCTION("""COMPUTED_VALUE"""),"Полтава")</f>
        <v>Полтава</v>
      </c>
      <c r="D49" s="2" t="str">
        <f>IFERROR(__xludf.DUMMYFUNCTION("""COMPUTED_VALUE"""),"Неактивний")</f>
        <v>Неактивний</v>
      </c>
      <c r="E49" s="2" t="str">
        <f>IFERROR(__xludf.DUMMYFUNCTION("""COMPUTED_VALUE"""),"TikTok")</f>
        <v>TikTok</v>
      </c>
    </row>
    <row r="50">
      <c r="A50" s="2">
        <f>IFERROR(__xludf.DUMMYFUNCTION("""COMPUTED_VALUE"""),1049.0)</f>
        <v>1049</v>
      </c>
      <c r="B50" s="2" t="str">
        <f>IFERROR(__xludf.DUMMYFUNCTION("""COMPUTED_VALUE"""),"Іван")</f>
        <v>Іван</v>
      </c>
      <c r="C50" s="2" t="str">
        <f>IFERROR(__xludf.DUMMYFUNCTION("""COMPUTED_VALUE"""),"Черкаси")</f>
        <v>Черкаси</v>
      </c>
      <c r="D50" s="2" t="str">
        <f>IFERROR(__xludf.DUMMYFUNCTION("""COMPUTED_VALUE"""),"Активний")</f>
        <v>Активний</v>
      </c>
      <c r="E50" s="2" t="str">
        <f>IFERROR(__xludf.DUMMYFUNCTION("""COMPUTED_VALUE"""),"Instagram")</f>
        <v>Instagram</v>
      </c>
    </row>
    <row r="51">
      <c r="A51" s="2">
        <f>IFERROR(__xludf.DUMMYFUNCTION("""COMPUTED_VALUE"""),1050.0)</f>
        <v>1050</v>
      </c>
      <c r="B51" s="2" t="str">
        <f>IFERROR(__xludf.DUMMYFUNCTION("""COMPUTED_VALUE"""),"Кирило")</f>
        <v>Кирило</v>
      </c>
      <c r="C51" s="2" t="str">
        <f>IFERROR(__xludf.DUMMYFUNCTION("""COMPUTED_VALUE"""),"Ужгород")</f>
        <v>Ужгород</v>
      </c>
      <c r="D51" s="2" t="str">
        <f>IFERROR(__xludf.DUMMYFUNCTION("""COMPUTED_VALUE"""),"Потенційний")</f>
        <v>Потенційний</v>
      </c>
      <c r="E51" s="2" t="str">
        <f>IFERROR(__xludf.DUMMYFUNCTION("""COMPUTED_VALUE"""),"Facebook")</f>
        <v>Facebook</v>
      </c>
    </row>
    <row r="52">
      <c r="A52" s="2">
        <f>IFERROR(__xludf.DUMMYFUNCTION("""COMPUTED_VALUE"""),1051.0)</f>
        <v>1051</v>
      </c>
      <c r="B52" s="2" t="str">
        <f>IFERROR(__xludf.DUMMYFUNCTION("""COMPUTED_VALUE"""),"Марина")</f>
        <v>Марина</v>
      </c>
      <c r="C52" s="2" t="str">
        <f>IFERROR(__xludf.DUMMYFUNCTION("""COMPUTED_VALUE"""),"Київ")</f>
        <v>Київ</v>
      </c>
      <c r="D52" s="2" t="str">
        <f>IFERROR(__xludf.DUMMYFUNCTION("""COMPUTED_VALUE"""),"Неактивний")</f>
        <v>Неактивний</v>
      </c>
      <c r="E52" s="2" t="str">
        <f>IFERROR(__xludf.DUMMYFUNCTION("""COMPUTED_VALUE"""),"Email")</f>
        <v>Email</v>
      </c>
    </row>
    <row r="53">
      <c r="A53" s="2">
        <f>IFERROR(__xludf.DUMMYFUNCTION("""COMPUTED_VALUE"""),1052.0)</f>
        <v>1052</v>
      </c>
      <c r="B53" s="2" t="str">
        <f>IFERROR(__xludf.DUMMYFUNCTION("""COMPUTED_VALUE"""),"Андрій")</f>
        <v>Андрій</v>
      </c>
      <c r="C53" s="2" t="str">
        <f>IFERROR(__xludf.DUMMYFUNCTION("""COMPUTED_VALUE"""),"Львів")</f>
        <v>Львів</v>
      </c>
      <c r="D53" s="2" t="str">
        <f>IFERROR(__xludf.DUMMYFUNCTION("""COMPUTED_VALUE"""),"Активний")</f>
        <v>Активний</v>
      </c>
      <c r="E53" s="2" t="str">
        <f>IFERROR(__xludf.DUMMYFUNCTION("""COMPUTED_VALUE"""),"Google Ads")</f>
        <v>Google Ads</v>
      </c>
    </row>
    <row r="54">
      <c r="A54" s="2">
        <f>IFERROR(__xludf.DUMMYFUNCTION("""COMPUTED_VALUE"""),1053.0)</f>
        <v>1053</v>
      </c>
      <c r="B54" s="2" t="str">
        <f>IFERROR(__xludf.DUMMYFUNCTION("""COMPUTED_VALUE"""),"Олена")</f>
        <v>Олена</v>
      </c>
      <c r="C54" s="2" t="str">
        <f>IFERROR(__xludf.DUMMYFUNCTION("""COMPUTED_VALUE"""),"Одеса")</f>
        <v>Одеса</v>
      </c>
      <c r="D54" s="2" t="str">
        <f>IFERROR(__xludf.DUMMYFUNCTION("""COMPUTED_VALUE"""),"Потенційний")</f>
        <v>Потенційний</v>
      </c>
      <c r="E54" s="2" t="str">
        <f>IFERROR(__xludf.DUMMYFUNCTION("""COMPUTED_VALUE"""),"YouTube")</f>
        <v>YouTube</v>
      </c>
    </row>
    <row r="55">
      <c r="A55" s="2">
        <f>IFERROR(__xludf.DUMMYFUNCTION("""COMPUTED_VALUE"""),1054.0)</f>
        <v>1054</v>
      </c>
      <c r="B55" s="2" t="str">
        <f>IFERROR(__xludf.DUMMYFUNCTION("""COMPUTED_VALUE"""),"Тетяна")</f>
        <v>Тетяна</v>
      </c>
      <c r="C55" s="2" t="str">
        <f>IFERROR(__xludf.DUMMYFUNCTION("""COMPUTED_VALUE"""),"Харків")</f>
        <v>Харків</v>
      </c>
      <c r="D55" s="2" t="str">
        <f>IFERROR(__xludf.DUMMYFUNCTION("""COMPUTED_VALUE"""),"Неактивний")</f>
        <v>Неактивний</v>
      </c>
      <c r="E55" s="2" t="str">
        <f>IFERROR(__xludf.DUMMYFUNCTION("""COMPUTED_VALUE"""),"TikTok")</f>
        <v>TikTok</v>
      </c>
    </row>
    <row r="56">
      <c r="A56" s="2">
        <f>IFERROR(__xludf.DUMMYFUNCTION("""COMPUTED_VALUE"""),1055.0)</f>
        <v>1055</v>
      </c>
      <c r="B56" s="2" t="str">
        <f>IFERROR(__xludf.DUMMYFUNCTION("""COMPUTED_VALUE"""),"Дмитро")</f>
        <v>Дмитро</v>
      </c>
      <c r="C56" s="2" t="str">
        <f>IFERROR(__xludf.DUMMYFUNCTION("""COMPUTED_VALUE"""),"Дніпро")</f>
        <v>Дніпро</v>
      </c>
      <c r="D56" s="2" t="str">
        <f>IFERROR(__xludf.DUMMYFUNCTION("""COMPUTED_VALUE"""),"Активний")</f>
        <v>Активний</v>
      </c>
      <c r="E56" s="2" t="str">
        <f>IFERROR(__xludf.DUMMYFUNCTION("""COMPUTED_VALUE"""),"Instagram")</f>
        <v>Instagram</v>
      </c>
    </row>
    <row r="57">
      <c r="A57" s="2">
        <f>IFERROR(__xludf.DUMMYFUNCTION("""COMPUTED_VALUE"""),1056.0)</f>
        <v>1056</v>
      </c>
      <c r="B57" s="2" t="str">
        <f>IFERROR(__xludf.DUMMYFUNCTION("""COMPUTED_VALUE"""),"Сергій")</f>
        <v>Сергій</v>
      </c>
      <c r="C57" s="2" t="str">
        <f>IFERROR(__xludf.DUMMYFUNCTION("""COMPUTED_VALUE"""),"Вінниця")</f>
        <v>Вінниця</v>
      </c>
      <c r="D57" s="2" t="str">
        <f>IFERROR(__xludf.DUMMYFUNCTION("""COMPUTED_VALUE"""),"Потенційний")</f>
        <v>Потенційний</v>
      </c>
      <c r="E57" s="2" t="str">
        <f>IFERROR(__xludf.DUMMYFUNCTION("""COMPUTED_VALUE"""),"Facebook")</f>
        <v>Facebook</v>
      </c>
    </row>
    <row r="58">
      <c r="A58" s="2">
        <f>IFERROR(__xludf.DUMMYFUNCTION("""COMPUTED_VALUE"""),1057.0)</f>
        <v>1057</v>
      </c>
      <c r="B58" s="2" t="str">
        <f>IFERROR(__xludf.DUMMYFUNCTION("""COMPUTED_VALUE"""),"Юлія")</f>
        <v>Юлія</v>
      </c>
      <c r="C58" s="2" t="str">
        <f>IFERROR(__xludf.DUMMYFUNCTION("""COMPUTED_VALUE"""),"Запоріжжя")</f>
        <v>Запоріжжя</v>
      </c>
      <c r="D58" s="2" t="str">
        <f>IFERROR(__xludf.DUMMYFUNCTION("""COMPUTED_VALUE"""),"Неактивний")</f>
        <v>Неактивний</v>
      </c>
      <c r="E58" s="2" t="str">
        <f>IFERROR(__xludf.DUMMYFUNCTION("""COMPUTED_VALUE"""),"Email")</f>
        <v>Email</v>
      </c>
    </row>
    <row r="59">
      <c r="A59" s="2">
        <f>IFERROR(__xludf.DUMMYFUNCTION("""COMPUTED_VALUE"""),1058.0)</f>
        <v>1058</v>
      </c>
      <c r="B59" s="2" t="str">
        <f>IFERROR(__xludf.DUMMYFUNCTION("""COMPUTED_VALUE"""),"Назар")</f>
        <v>Назар</v>
      </c>
      <c r="C59" s="2" t="str">
        <f>IFERROR(__xludf.DUMMYFUNCTION("""COMPUTED_VALUE"""),"Полтава")</f>
        <v>Полтава</v>
      </c>
      <c r="D59" s="2" t="str">
        <f>IFERROR(__xludf.DUMMYFUNCTION("""COMPUTED_VALUE"""),"Активний")</f>
        <v>Активний</v>
      </c>
      <c r="E59" s="2" t="str">
        <f>IFERROR(__xludf.DUMMYFUNCTION("""COMPUTED_VALUE"""),"Google Ads")</f>
        <v>Google Ads</v>
      </c>
    </row>
    <row r="60">
      <c r="A60" s="2">
        <f>IFERROR(__xludf.DUMMYFUNCTION("""COMPUTED_VALUE"""),1059.0)</f>
        <v>1059</v>
      </c>
      <c r="B60" s="2" t="str">
        <f>IFERROR(__xludf.DUMMYFUNCTION("""COMPUTED_VALUE"""),"Ірина")</f>
        <v>Ірина</v>
      </c>
      <c r="C60" s="2" t="str">
        <f>IFERROR(__xludf.DUMMYFUNCTION("""COMPUTED_VALUE"""),"Черкаси")</f>
        <v>Черкаси</v>
      </c>
      <c r="D60" s="2" t="str">
        <f>IFERROR(__xludf.DUMMYFUNCTION("""COMPUTED_VALUE"""),"Потенційний")</f>
        <v>Потенційний</v>
      </c>
      <c r="E60" s="2" t="str">
        <f>IFERROR(__xludf.DUMMYFUNCTION("""COMPUTED_VALUE"""),"YouTube")</f>
        <v>YouTube</v>
      </c>
    </row>
    <row r="61">
      <c r="A61" s="2">
        <f>IFERROR(__xludf.DUMMYFUNCTION("""COMPUTED_VALUE"""),1060.0)</f>
        <v>1060</v>
      </c>
      <c r="B61" s="2" t="str">
        <f>IFERROR(__xludf.DUMMYFUNCTION("""COMPUTED_VALUE"""),"Богдан")</f>
        <v>Богдан</v>
      </c>
      <c r="C61" s="2" t="str">
        <f>IFERROR(__xludf.DUMMYFUNCTION("""COMPUTED_VALUE"""),"Ужгород")</f>
        <v>Ужгород</v>
      </c>
      <c r="D61" s="2" t="str">
        <f>IFERROR(__xludf.DUMMYFUNCTION("""COMPUTED_VALUE"""),"Неактивний")</f>
        <v>Неактивний</v>
      </c>
      <c r="E61" s="2" t="str">
        <f>IFERROR(__xludf.DUMMYFUNCTION("""COMPUTED_VALUE"""),"TikTok")</f>
        <v>TikTok</v>
      </c>
    </row>
    <row r="62">
      <c r="A62" s="2">
        <f>IFERROR(__xludf.DUMMYFUNCTION("""COMPUTED_VALUE"""),1061.0)</f>
        <v>1061</v>
      </c>
      <c r="B62" s="2" t="str">
        <f>IFERROR(__xludf.DUMMYFUNCTION("""COMPUTED_VALUE"""),"Анастасія")</f>
        <v>Анастасія</v>
      </c>
      <c r="C62" s="2" t="str">
        <f>IFERROR(__xludf.DUMMYFUNCTION("""COMPUTED_VALUE"""),"Київ")</f>
        <v>Київ</v>
      </c>
      <c r="D62" s="2" t="str">
        <f>IFERROR(__xludf.DUMMYFUNCTION("""COMPUTED_VALUE"""),"Активний")</f>
        <v>Активний</v>
      </c>
      <c r="E62" s="2" t="str">
        <f>IFERROR(__xludf.DUMMYFUNCTION("""COMPUTED_VALUE"""),"Instagram")</f>
        <v>Instagram</v>
      </c>
    </row>
    <row r="63">
      <c r="A63" s="2">
        <f>IFERROR(__xludf.DUMMYFUNCTION("""COMPUTED_VALUE"""),1062.0)</f>
        <v>1062</v>
      </c>
      <c r="B63" s="2" t="str">
        <f>IFERROR(__xludf.DUMMYFUNCTION("""COMPUTED_VALUE"""),"Максим")</f>
        <v>Максим</v>
      </c>
      <c r="C63" s="2" t="str">
        <f>IFERROR(__xludf.DUMMYFUNCTION("""COMPUTED_VALUE"""),"Львів")</f>
        <v>Львів</v>
      </c>
      <c r="D63" s="2" t="str">
        <f>IFERROR(__xludf.DUMMYFUNCTION("""COMPUTED_VALUE"""),"Потенційний")</f>
        <v>Потенційний</v>
      </c>
      <c r="E63" s="2" t="str">
        <f>IFERROR(__xludf.DUMMYFUNCTION("""COMPUTED_VALUE"""),"Facebook")</f>
        <v>Facebook</v>
      </c>
    </row>
    <row r="64">
      <c r="A64" s="2">
        <f>IFERROR(__xludf.DUMMYFUNCTION("""COMPUTED_VALUE"""),1063.0)</f>
        <v>1063</v>
      </c>
      <c r="B64" s="2" t="str">
        <f>IFERROR(__xludf.DUMMYFUNCTION("""COMPUTED_VALUE"""),"Анна")</f>
        <v>Анна</v>
      </c>
      <c r="C64" s="2" t="str">
        <f>IFERROR(__xludf.DUMMYFUNCTION("""COMPUTED_VALUE"""),"Одеса")</f>
        <v>Одеса</v>
      </c>
      <c r="D64" s="2" t="str">
        <f>IFERROR(__xludf.DUMMYFUNCTION("""COMPUTED_VALUE"""),"Неактивний")</f>
        <v>Неактивний</v>
      </c>
      <c r="E64" s="2" t="str">
        <f>IFERROR(__xludf.DUMMYFUNCTION("""COMPUTED_VALUE"""),"Email")</f>
        <v>Email</v>
      </c>
    </row>
    <row r="65">
      <c r="A65" s="2">
        <f>IFERROR(__xludf.DUMMYFUNCTION("""COMPUTED_VALUE"""),1064.0)</f>
        <v>1064</v>
      </c>
      <c r="B65" s="2" t="str">
        <f>IFERROR(__xludf.DUMMYFUNCTION("""COMPUTED_VALUE"""),"Артем")</f>
        <v>Артем</v>
      </c>
      <c r="C65" s="2" t="str">
        <f>IFERROR(__xludf.DUMMYFUNCTION("""COMPUTED_VALUE"""),"Харків")</f>
        <v>Харків</v>
      </c>
      <c r="D65" s="2" t="str">
        <f>IFERROR(__xludf.DUMMYFUNCTION("""COMPUTED_VALUE"""),"Активний")</f>
        <v>Активний</v>
      </c>
      <c r="E65" s="2" t="str">
        <f>IFERROR(__xludf.DUMMYFUNCTION("""COMPUTED_VALUE"""),"Google Ads")</f>
        <v>Google Ads</v>
      </c>
    </row>
    <row r="66">
      <c r="A66" s="2">
        <f>IFERROR(__xludf.DUMMYFUNCTION("""COMPUTED_VALUE"""),1065.0)</f>
        <v>1065</v>
      </c>
      <c r="B66" s="2" t="str">
        <f>IFERROR(__xludf.DUMMYFUNCTION("""COMPUTED_VALUE"""),"Олександр")</f>
        <v>Олександр</v>
      </c>
      <c r="C66" s="2" t="str">
        <f>IFERROR(__xludf.DUMMYFUNCTION("""COMPUTED_VALUE"""),"Дніпро")</f>
        <v>Дніпро</v>
      </c>
      <c r="D66" s="2" t="str">
        <f>IFERROR(__xludf.DUMMYFUNCTION("""COMPUTED_VALUE"""),"Потенційний")</f>
        <v>Потенційний</v>
      </c>
      <c r="E66" s="2" t="str">
        <f>IFERROR(__xludf.DUMMYFUNCTION("""COMPUTED_VALUE"""),"YouTube")</f>
        <v>YouTube</v>
      </c>
    </row>
    <row r="67">
      <c r="A67" s="2">
        <f>IFERROR(__xludf.DUMMYFUNCTION("""COMPUTED_VALUE"""),1066.0)</f>
        <v>1066</v>
      </c>
      <c r="B67" s="2" t="str">
        <f>IFERROR(__xludf.DUMMYFUNCTION("""COMPUTED_VALUE"""),"Катерина")</f>
        <v>Катерина</v>
      </c>
      <c r="C67" s="2" t="str">
        <f>IFERROR(__xludf.DUMMYFUNCTION("""COMPUTED_VALUE"""),"Вінниця")</f>
        <v>Вінниця</v>
      </c>
      <c r="D67" s="2" t="str">
        <f>IFERROR(__xludf.DUMMYFUNCTION("""COMPUTED_VALUE"""),"Неактивний")</f>
        <v>Неактивний</v>
      </c>
      <c r="E67" s="2" t="str">
        <f>IFERROR(__xludf.DUMMYFUNCTION("""COMPUTED_VALUE"""),"TikTok")</f>
        <v>TikTok</v>
      </c>
    </row>
    <row r="68">
      <c r="A68" s="2">
        <f>IFERROR(__xludf.DUMMYFUNCTION("""COMPUTED_VALUE"""),1067.0)</f>
        <v>1067</v>
      </c>
      <c r="B68" s="2" t="str">
        <f>IFERROR(__xludf.DUMMYFUNCTION("""COMPUTED_VALUE"""),"Віктор")</f>
        <v>Віктор</v>
      </c>
      <c r="C68" s="2" t="str">
        <f>IFERROR(__xludf.DUMMYFUNCTION("""COMPUTED_VALUE"""),"Запоріжжя")</f>
        <v>Запоріжжя</v>
      </c>
      <c r="D68" s="2" t="str">
        <f>IFERROR(__xludf.DUMMYFUNCTION("""COMPUTED_VALUE"""),"Активний")</f>
        <v>Активний</v>
      </c>
      <c r="E68" s="2" t="str">
        <f>IFERROR(__xludf.DUMMYFUNCTION("""COMPUTED_VALUE"""),"Instagram")</f>
        <v>Instagram</v>
      </c>
    </row>
    <row r="69">
      <c r="A69" s="2">
        <f>IFERROR(__xludf.DUMMYFUNCTION("""COMPUTED_VALUE"""),1068.0)</f>
        <v>1068</v>
      </c>
      <c r="B69" s="2" t="str">
        <f>IFERROR(__xludf.DUMMYFUNCTION("""COMPUTED_VALUE"""),"Алла")</f>
        <v>Алла</v>
      </c>
      <c r="C69" s="2" t="str">
        <f>IFERROR(__xludf.DUMMYFUNCTION("""COMPUTED_VALUE"""),"Полтава")</f>
        <v>Полтава</v>
      </c>
      <c r="D69" s="2" t="str">
        <f>IFERROR(__xludf.DUMMYFUNCTION("""COMPUTED_VALUE"""),"Потенційний")</f>
        <v>Потенційний</v>
      </c>
      <c r="E69" s="2" t="str">
        <f>IFERROR(__xludf.DUMMYFUNCTION("""COMPUTED_VALUE"""),"Facebook")</f>
        <v>Facebook</v>
      </c>
    </row>
    <row r="70">
      <c r="A70" s="2">
        <f>IFERROR(__xludf.DUMMYFUNCTION("""COMPUTED_VALUE"""),1069.0)</f>
        <v>1069</v>
      </c>
      <c r="B70" s="2" t="str">
        <f>IFERROR(__xludf.DUMMYFUNCTION("""COMPUTED_VALUE"""),"Ярослав")</f>
        <v>Ярослав</v>
      </c>
      <c r="C70" s="2" t="str">
        <f>IFERROR(__xludf.DUMMYFUNCTION("""COMPUTED_VALUE"""),"Черкаси")</f>
        <v>Черкаси</v>
      </c>
      <c r="D70" s="2" t="str">
        <f>IFERROR(__xludf.DUMMYFUNCTION("""COMPUTED_VALUE"""),"Неактивний")</f>
        <v>Неактивний</v>
      </c>
      <c r="E70" s="2" t="str">
        <f>IFERROR(__xludf.DUMMYFUNCTION("""COMPUTED_VALUE"""),"Email")</f>
        <v>Email</v>
      </c>
    </row>
    <row r="71">
      <c r="A71" s="2">
        <f>IFERROR(__xludf.DUMMYFUNCTION("""COMPUTED_VALUE"""),1070.0)</f>
        <v>1070</v>
      </c>
      <c r="B71" s="2" t="str">
        <f>IFERROR(__xludf.DUMMYFUNCTION("""COMPUTED_VALUE"""),"Роман")</f>
        <v>Роман</v>
      </c>
      <c r="C71" s="2" t="str">
        <f>IFERROR(__xludf.DUMMYFUNCTION("""COMPUTED_VALUE"""),"Ужгород")</f>
        <v>Ужгород</v>
      </c>
      <c r="D71" s="2" t="str">
        <f>IFERROR(__xludf.DUMMYFUNCTION("""COMPUTED_VALUE"""),"Активний")</f>
        <v>Активний</v>
      </c>
      <c r="E71" s="2" t="str">
        <f>IFERROR(__xludf.DUMMYFUNCTION("""COMPUTED_VALUE"""),"Google Ads")</f>
        <v>Google Ads</v>
      </c>
    </row>
    <row r="72">
      <c r="A72" s="2">
        <f>IFERROR(__xludf.DUMMYFUNCTION("""COMPUTED_VALUE"""),1071.0)</f>
        <v>1071</v>
      </c>
      <c r="B72" s="2" t="str">
        <f>IFERROR(__xludf.DUMMYFUNCTION("""COMPUTED_VALUE"""),"Олег")</f>
        <v>Олег</v>
      </c>
      <c r="C72" s="2" t="str">
        <f>IFERROR(__xludf.DUMMYFUNCTION("""COMPUTED_VALUE"""),"Київ")</f>
        <v>Київ</v>
      </c>
      <c r="D72" s="2" t="str">
        <f>IFERROR(__xludf.DUMMYFUNCTION("""COMPUTED_VALUE"""),"Потенційний")</f>
        <v>Потенційний</v>
      </c>
      <c r="E72" s="2" t="str">
        <f>IFERROR(__xludf.DUMMYFUNCTION("""COMPUTED_VALUE"""),"YouTube")</f>
        <v>YouTube</v>
      </c>
    </row>
    <row r="73">
      <c r="A73" s="2">
        <f>IFERROR(__xludf.DUMMYFUNCTION("""COMPUTED_VALUE"""),1072.0)</f>
        <v>1072</v>
      </c>
      <c r="B73" s="2" t="str">
        <f>IFERROR(__xludf.DUMMYFUNCTION("""COMPUTED_VALUE"""),"Світлана")</f>
        <v>Світлана</v>
      </c>
      <c r="C73" s="2" t="str">
        <f>IFERROR(__xludf.DUMMYFUNCTION("""COMPUTED_VALUE"""),"Львів")</f>
        <v>Львів</v>
      </c>
      <c r="D73" s="2" t="str">
        <f>IFERROR(__xludf.DUMMYFUNCTION("""COMPUTED_VALUE"""),"Неактивний")</f>
        <v>Неактивний</v>
      </c>
      <c r="E73" s="2" t="str">
        <f>IFERROR(__xludf.DUMMYFUNCTION("""COMPUTED_VALUE"""),"TikTok")</f>
        <v>TikTok</v>
      </c>
    </row>
    <row r="74">
      <c r="A74" s="2">
        <f>IFERROR(__xludf.DUMMYFUNCTION("""COMPUTED_VALUE"""),1073.0)</f>
        <v>1073</v>
      </c>
      <c r="B74" s="2" t="str">
        <f>IFERROR(__xludf.DUMMYFUNCTION("""COMPUTED_VALUE"""),"Жанна")</f>
        <v>Жанна</v>
      </c>
      <c r="C74" s="2" t="str">
        <f>IFERROR(__xludf.DUMMYFUNCTION("""COMPUTED_VALUE"""),"Одеса")</f>
        <v>Одеса</v>
      </c>
      <c r="D74" s="2" t="str">
        <f>IFERROR(__xludf.DUMMYFUNCTION("""COMPUTED_VALUE"""),"Активний")</f>
        <v>Активний</v>
      </c>
      <c r="E74" s="2" t="str">
        <f>IFERROR(__xludf.DUMMYFUNCTION("""COMPUTED_VALUE"""),"Instagram")</f>
        <v>Instagram</v>
      </c>
    </row>
    <row r="75">
      <c r="A75" s="2">
        <f>IFERROR(__xludf.DUMMYFUNCTION("""COMPUTED_VALUE"""),1074.0)</f>
        <v>1074</v>
      </c>
      <c r="B75" s="2" t="str">
        <f>IFERROR(__xludf.DUMMYFUNCTION("""COMPUTED_VALUE"""),"Ігор")</f>
        <v>Ігор</v>
      </c>
      <c r="C75" s="2" t="str">
        <f>IFERROR(__xludf.DUMMYFUNCTION("""COMPUTED_VALUE"""),"Харків")</f>
        <v>Харків</v>
      </c>
      <c r="D75" s="2" t="str">
        <f>IFERROR(__xludf.DUMMYFUNCTION("""COMPUTED_VALUE"""),"Потенційний")</f>
        <v>Потенційний</v>
      </c>
      <c r="E75" s="2" t="str">
        <f>IFERROR(__xludf.DUMMYFUNCTION("""COMPUTED_VALUE"""),"Facebook")</f>
        <v>Facebook</v>
      </c>
    </row>
    <row r="76">
      <c r="A76" s="2">
        <f>IFERROR(__xludf.DUMMYFUNCTION("""COMPUTED_VALUE"""),1075.0)</f>
        <v>1075</v>
      </c>
      <c r="B76" s="2" t="str">
        <f>IFERROR(__xludf.DUMMYFUNCTION("""COMPUTED_VALUE"""),"Зоряна")</f>
        <v>Зоряна</v>
      </c>
      <c r="C76" s="2" t="str">
        <f>IFERROR(__xludf.DUMMYFUNCTION("""COMPUTED_VALUE"""),"Дніпро")</f>
        <v>Дніпро</v>
      </c>
      <c r="D76" s="2" t="str">
        <f>IFERROR(__xludf.DUMMYFUNCTION("""COMPUTED_VALUE"""),"Неактивний")</f>
        <v>Неактивний</v>
      </c>
      <c r="E76" s="2" t="str">
        <f>IFERROR(__xludf.DUMMYFUNCTION("""COMPUTED_VALUE"""),"Email")</f>
        <v>Email</v>
      </c>
    </row>
    <row r="77">
      <c r="A77" s="2">
        <f>IFERROR(__xludf.DUMMYFUNCTION("""COMPUTED_VALUE"""),1076.0)</f>
        <v>1076</v>
      </c>
      <c r="B77" s="2" t="str">
        <f>IFERROR(__xludf.DUMMYFUNCTION("""COMPUTED_VALUE"""),"Руслан")</f>
        <v>Руслан</v>
      </c>
      <c r="C77" s="2" t="str">
        <f>IFERROR(__xludf.DUMMYFUNCTION("""COMPUTED_VALUE"""),"Вінниця")</f>
        <v>Вінниця</v>
      </c>
      <c r="D77" s="2" t="str">
        <f>IFERROR(__xludf.DUMMYFUNCTION("""COMPUTED_VALUE"""),"Активний")</f>
        <v>Активний</v>
      </c>
      <c r="E77" s="2" t="str">
        <f>IFERROR(__xludf.DUMMYFUNCTION("""COMPUTED_VALUE"""),"Google Ads")</f>
        <v>Google Ads</v>
      </c>
    </row>
    <row r="78">
      <c r="A78" s="2">
        <f>IFERROR(__xludf.DUMMYFUNCTION("""COMPUTED_VALUE"""),1077.0)</f>
        <v>1077</v>
      </c>
      <c r="B78" s="2" t="str">
        <f>IFERROR(__xludf.DUMMYFUNCTION("""COMPUTED_VALUE"""),"Марта")</f>
        <v>Марта</v>
      </c>
      <c r="C78" s="2" t="str">
        <f>IFERROR(__xludf.DUMMYFUNCTION("""COMPUTED_VALUE"""),"Запоріжжя")</f>
        <v>Запоріжжя</v>
      </c>
      <c r="D78" s="2" t="str">
        <f>IFERROR(__xludf.DUMMYFUNCTION("""COMPUTED_VALUE"""),"Потенційний")</f>
        <v>Потенційний</v>
      </c>
      <c r="E78" s="2" t="str">
        <f>IFERROR(__xludf.DUMMYFUNCTION("""COMPUTED_VALUE"""),"YouTube")</f>
        <v>YouTube</v>
      </c>
    </row>
    <row r="79">
      <c r="A79" s="2">
        <f>IFERROR(__xludf.DUMMYFUNCTION("""COMPUTED_VALUE"""),1078.0)</f>
        <v>1078</v>
      </c>
      <c r="B79" s="2" t="str">
        <f>IFERROR(__xludf.DUMMYFUNCTION("""COMPUTED_VALUE"""),"Микита")</f>
        <v>Микита</v>
      </c>
      <c r="C79" s="2" t="str">
        <f>IFERROR(__xludf.DUMMYFUNCTION("""COMPUTED_VALUE"""),"Полтава")</f>
        <v>Полтава</v>
      </c>
      <c r="D79" s="2" t="str">
        <f>IFERROR(__xludf.DUMMYFUNCTION("""COMPUTED_VALUE"""),"Неактивний")</f>
        <v>Неактивний</v>
      </c>
      <c r="E79" s="2" t="str">
        <f>IFERROR(__xludf.DUMMYFUNCTION("""COMPUTED_VALUE"""),"TikTok")</f>
        <v>TikTok</v>
      </c>
    </row>
    <row r="80">
      <c r="A80" s="2">
        <f>IFERROR(__xludf.DUMMYFUNCTION("""COMPUTED_VALUE"""),1079.0)</f>
        <v>1079</v>
      </c>
      <c r="B80" s="2" t="str">
        <f>IFERROR(__xludf.DUMMYFUNCTION("""COMPUTED_VALUE"""),"Дарина")</f>
        <v>Дарина</v>
      </c>
      <c r="C80" s="2" t="str">
        <f>IFERROR(__xludf.DUMMYFUNCTION("""COMPUTED_VALUE"""),"Черкаси")</f>
        <v>Черкаси</v>
      </c>
      <c r="D80" s="2" t="str">
        <f>IFERROR(__xludf.DUMMYFUNCTION("""COMPUTED_VALUE"""),"Активний")</f>
        <v>Активний</v>
      </c>
      <c r="E80" s="2" t="str">
        <f>IFERROR(__xludf.DUMMYFUNCTION("""COMPUTED_VALUE"""),"Instagram")</f>
        <v>Instagram</v>
      </c>
    </row>
    <row r="81">
      <c r="A81" s="2">
        <f>IFERROR(__xludf.DUMMYFUNCTION("""COMPUTED_VALUE"""),1080.0)</f>
        <v>1080</v>
      </c>
      <c r="B81" s="2" t="str">
        <f>IFERROR(__xludf.DUMMYFUNCTION("""COMPUTED_VALUE"""),"Євген")</f>
        <v>Євген</v>
      </c>
      <c r="C81" s="2" t="str">
        <f>IFERROR(__xludf.DUMMYFUNCTION("""COMPUTED_VALUE"""),"Ужгород")</f>
        <v>Ужгород</v>
      </c>
      <c r="D81" s="2" t="str">
        <f>IFERROR(__xludf.DUMMYFUNCTION("""COMPUTED_VALUE"""),"Потенційний")</f>
        <v>Потенційний</v>
      </c>
      <c r="E81" s="2" t="str">
        <f>IFERROR(__xludf.DUMMYFUNCTION("""COMPUTED_VALUE"""),"Facebook")</f>
        <v>Facebook</v>
      </c>
    </row>
    <row r="82">
      <c r="A82" s="2">
        <f>IFERROR(__xludf.DUMMYFUNCTION("""COMPUTED_VALUE"""),1081.0)</f>
        <v>1081</v>
      </c>
      <c r="B82" s="2" t="str">
        <f>IFERROR(__xludf.DUMMYFUNCTION("""COMPUTED_VALUE"""),"Наталія")</f>
        <v>Наталія</v>
      </c>
      <c r="C82" s="2" t="str">
        <f>IFERROR(__xludf.DUMMYFUNCTION("""COMPUTED_VALUE"""),"Київ")</f>
        <v>Київ</v>
      </c>
      <c r="D82" s="2" t="str">
        <f>IFERROR(__xludf.DUMMYFUNCTION("""COMPUTED_VALUE"""),"Неактивний")</f>
        <v>Неактивний</v>
      </c>
      <c r="E82" s="2" t="str">
        <f>IFERROR(__xludf.DUMMYFUNCTION("""COMPUTED_VALUE"""),"Email")</f>
        <v>Email</v>
      </c>
    </row>
    <row r="83">
      <c r="A83" s="2">
        <f>IFERROR(__xludf.DUMMYFUNCTION("""COMPUTED_VALUE"""),1082.0)</f>
        <v>1082</v>
      </c>
      <c r="B83" s="2" t="str">
        <f>IFERROR(__xludf.DUMMYFUNCTION("""COMPUTED_VALUE"""),"Владислав")</f>
        <v>Владислав</v>
      </c>
      <c r="C83" s="2" t="str">
        <f>IFERROR(__xludf.DUMMYFUNCTION("""COMPUTED_VALUE"""),"Львів")</f>
        <v>Львів</v>
      </c>
      <c r="D83" s="2" t="str">
        <f>IFERROR(__xludf.DUMMYFUNCTION("""COMPUTED_VALUE"""),"Активний")</f>
        <v>Активний</v>
      </c>
      <c r="E83" s="2" t="str">
        <f>IFERROR(__xludf.DUMMYFUNCTION("""COMPUTED_VALUE"""),"Google Ads")</f>
        <v>Google Ads</v>
      </c>
    </row>
    <row r="84">
      <c r="A84" s="2">
        <f>IFERROR(__xludf.DUMMYFUNCTION("""COMPUTED_VALUE"""),1083.0)</f>
        <v>1083</v>
      </c>
      <c r="B84" s="2" t="str">
        <f>IFERROR(__xludf.DUMMYFUNCTION("""COMPUTED_VALUE"""),"Софія")</f>
        <v>Софія</v>
      </c>
      <c r="C84" s="2" t="str">
        <f>IFERROR(__xludf.DUMMYFUNCTION("""COMPUTED_VALUE"""),"Одеса")</f>
        <v>Одеса</v>
      </c>
      <c r="D84" s="2" t="str">
        <f>IFERROR(__xludf.DUMMYFUNCTION("""COMPUTED_VALUE"""),"Потенційний")</f>
        <v>Потенційний</v>
      </c>
      <c r="E84" s="2" t="str">
        <f>IFERROR(__xludf.DUMMYFUNCTION("""COMPUTED_VALUE"""),"YouTube")</f>
        <v>YouTube</v>
      </c>
    </row>
    <row r="85">
      <c r="A85" s="2">
        <f>IFERROR(__xludf.DUMMYFUNCTION("""COMPUTED_VALUE"""),1084.0)</f>
        <v>1084</v>
      </c>
      <c r="B85" s="2" t="str">
        <f>IFERROR(__xludf.DUMMYFUNCTION("""COMPUTED_VALUE"""),"Ілля")</f>
        <v>Ілля</v>
      </c>
      <c r="C85" s="2" t="str">
        <f>IFERROR(__xludf.DUMMYFUNCTION("""COMPUTED_VALUE"""),"Харків")</f>
        <v>Харків</v>
      </c>
      <c r="D85" s="2" t="str">
        <f>IFERROR(__xludf.DUMMYFUNCTION("""COMPUTED_VALUE"""),"Неактивний")</f>
        <v>Неактивний</v>
      </c>
      <c r="E85" s="2" t="str">
        <f>IFERROR(__xludf.DUMMYFUNCTION("""COMPUTED_VALUE"""),"TikTok")</f>
        <v>TikTok</v>
      </c>
    </row>
    <row r="86">
      <c r="A86" s="2">
        <f>IFERROR(__xludf.DUMMYFUNCTION("""COMPUTED_VALUE"""),1085.0)</f>
        <v>1085</v>
      </c>
      <c r="B86" s="2" t="str">
        <f>IFERROR(__xludf.DUMMYFUNCTION("""COMPUTED_VALUE"""),"Тимур")</f>
        <v>Тимур</v>
      </c>
      <c r="C86" s="2" t="str">
        <f>IFERROR(__xludf.DUMMYFUNCTION("""COMPUTED_VALUE"""),"Дніпро")</f>
        <v>Дніпро</v>
      </c>
      <c r="D86" s="2" t="str">
        <f>IFERROR(__xludf.DUMMYFUNCTION("""COMPUTED_VALUE"""),"Активний")</f>
        <v>Активний</v>
      </c>
      <c r="E86" s="2" t="str">
        <f>IFERROR(__xludf.DUMMYFUNCTION("""COMPUTED_VALUE"""),"Instagram")</f>
        <v>Instagram</v>
      </c>
    </row>
    <row r="87">
      <c r="A87" s="2">
        <f>IFERROR(__xludf.DUMMYFUNCTION("""COMPUTED_VALUE"""),1086.0)</f>
        <v>1086</v>
      </c>
      <c r="B87" s="2" t="str">
        <f>IFERROR(__xludf.DUMMYFUNCTION("""COMPUTED_VALUE"""),"Вероніка")</f>
        <v>Вероніка</v>
      </c>
      <c r="C87" s="2" t="str">
        <f>IFERROR(__xludf.DUMMYFUNCTION("""COMPUTED_VALUE"""),"Вінниця")</f>
        <v>Вінниця</v>
      </c>
      <c r="D87" s="2" t="str">
        <f>IFERROR(__xludf.DUMMYFUNCTION("""COMPUTED_VALUE"""),"Потенційний")</f>
        <v>Потенційний</v>
      </c>
      <c r="E87" s="2" t="str">
        <f>IFERROR(__xludf.DUMMYFUNCTION("""COMPUTED_VALUE"""),"Facebook")</f>
        <v>Facebook</v>
      </c>
    </row>
    <row r="88">
      <c r="A88" s="2">
        <f>IFERROR(__xludf.DUMMYFUNCTION("""COMPUTED_VALUE"""),1087.0)</f>
        <v>1087</v>
      </c>
      <c r="B88" s="2" t="str">
        <f>IFERROR(__xludf.DUMMYFUNCTION("""COMPUTED_VALUE"""),"Леся")</f>
        <v>Леся</v>
      </c>
      <c r="C88" s="2" t="str">
        <f>IFERROR(__xludf.DUMMYFUNCTION("""COMPUTED_VALUE"""),"Запоріжжя")</f>
        <v>Запоріжжя</v>
      </c>
      <c r="D88" s="2" t="str">
        <f>IFERROR(__xludf.DUMMYFUNCTION("""COMPUTED_VALUE"""),"Неактивний")</f>
        <v>Неактивний</v>
      </c>
      <c r="E88" s="2" t="str">
        <f>IFERROR(__xludf.DUMMYFUNCTION("""COMPUTED_VALUE"""),"Email")</f>
        <v>Email</v>
      </c>
    </row>
    <row r="89">
      <c r="A89" s="2">
        <f>IFERROR(__xludf.DUMMYFUNCTION("""COMPUTED_VALUE"""),1088.0)</f>
        <v>1088</v>
      </c>
      <c r="B89" s="2" t="str">
        <f>IFERROR(__xludf.DUMMYFUNCTION("""COMPUTED_VALUE"""),"Павло")</f>
        <v>Павло</v>
      </c>
      <c r="C89" s="2" t="str">
        <f>IFERROR(__xludf.DUMMYFUNCTION("""COMPUTED_VALUE"""),"Полтава")</f>
        <v>Полтава</v>
      </c>
      <c r="D89" s="2" t="str">
        <f>IFERROR(__xludf.DUMMYFUNCTION("""COMPUTED_VALUE"""),"Активний")</f>
        <v>Активний</v>
      </c>
      <c r="E89" s="2" t="str">
        <f>IFERROR(__xludf.DUMMYFUNCTION("""COMPUTED_VALUE"""),"Google Ads")</f>
        <v>Google Ads</v>
      </c>
    </row>
    <row r="90">
      <c r="A90" s="2">
        <f>IFERROR(__xludf.DUMMYFUNCTION("""COMPUTED_VALUE"""),1089.0)</f>
        <v>1089</v>
      </c>
      <c r="B90" s="2" t="str">
        <f>IFERROR(__xludf.DUMMYFUNCTION("""COMPUTED_VALUE"""),"Яна")</f>
        <v>Яна</v>
      </c>
      <c r="C90" s="2" t="str">
        <f>IFERROR(__xludf.DUMMYFUNCTION("""COMPUTED_VALUE"""),"Черкаси")</f>
        <v>Черкаси</v>
      </c>
      <c r="D90" s="2" t="str">
        <f>IFERROR(__xludf.DUMMYFUNCTION("""COMPUTED_VALUE"""),"Потенційний")</f>
        <v>Потенційний</v>
      </c>
      <c r="E90" s="2" t="str">
        <f>IFERROR(__xludf.DUMMYFUNCTION("""COMPUTED_VALUE"""),"YouTube")</f>
        <v>YouTube</v>
      </c>
    </row>
    <row r="91">
      <c r="A91" s="2">
        <f>IFERROR(__xludf.DUMMYFUNCTION("""COMPUTED_VALUE"""),1090.0)</f>
        <v>1090</v>
      </c>
      <c r="B91" s="2" t="str">
        <f>IFERROR(__xludf.DUMMYFUNCTION("""COMPUTED_VALUE"""),"Олеся")</f>
        <v>Олеся</v>
      </c>
      <c r="C91" s="2" t="str">
        <f>IFERROR(__xludf.DUMMYFUNCTION("""COMPUTED_VALUE"""),"Ужгород")</f>
        <v>Ужгород</v>
      </c>
      <c r="D91" s="2" t="str">
        <f>IFERROR(__xludf.DUMMYFUNCTION("""COMPUTED_VALUE"""),"Неактивний")</f>
        <v>Неактивний</v>
      </c>
      <c r="E91" s="2" t="str">
        <f>IFERROR(__xludf.DUMMYFUNCTION("""COMPUTED_VALUE"""),"TikTok")</f>
        <v>TikTok</v>
      </c>
    </row>
    <row r="92">
      <c r="A92" s="2">
        <f>IFERROR(__xludf.DUMMYFUNCTION("""COMPUTED_VALUE"""),1091.0)</f>
        <v>1091</v>
      </c>
      <c r="B92" s="2" t="str">
        <f>IFERROR(__xludf.DUMMYFUNCTION("""COMPUTED_VALUE"""),"Арсен")</f>
        <v>Арсен</v>
      </c>
      <c r="C92" s="2" t="str">
        <f>IFERROR(__xludf.DUMMYFUNCTION("""COMPUTED_VALUE"""),"Київ")</f>
        <v>Київ</v>
      </c>
      <c r="D92" s="2" t="str">
        <f>IFERROR(__xludf.DUMMYFUNCTION("""COMPUTED_VALUE"""),"Активний")</f>
        <v>Активний</v>
      </c>
      <c r="E92" s="2" t="str">
        <f>IFERROR(__xludf.DUMMYFUNCTION("""COMPUTED_VALUE"""),"Instagram")</f>
        <v>Instagram</v>
      </c>
    </row>
    <row r="93">
      <c r="A93" s="2">
        <f>IFERROR(__xludf.DUMMYFUNCTION("""COMPUTED_VALUE"""),1092.0)</f>
        <v>1092</v>
      </c>
      <c r="B93" s="2" t="str">
        <f>IFERROR(__xludf.DUMMYFUNCTION("""COMPUTED_VALUE"""),"Вікторія")</f>
        <v>Вікторія</v>
      </c>
      <c r="C93" s="2" t="str">
        <f>IFERROR(__xludf.DUMMYFUNCTION("""COMPUTED_VALUE"""),"Львів")</f>
        <v>Львів</v>
      </c>
      <c r="D93" s="2" t="str">
        <f>IFERROR(__xludf.DUMMYFUNCTION("""COMPUTED_VALUE"""),"Потенційний")</f>
        <v>Потенційний</v>
      </c>
      <c r="E93" s="2" t="str">
        <f>IFERROR(__xludf.DUMMYFUNCTION("""COMPUTED_VALUE"""),"Facebook")</f>
        <v>Facebook</v>
      </c>
    </row>
    <row r="94">
      <c r="A94" s="2">
        <f>IFERROR(__xludf.DUMMYFUNCTION("""COMPUTED_VALUE"""),1093.0)</f>
        <v>1093</v>
      </c>
      <c r="B94" s="2" t="str">
        <f>IFERROR(__xludf.DUMMYFUNCTION("""COMPUTED_VALUE"""),"Аліна")</f>
        <v>Аліна</v>
      </c>
      <c r="C94" s="2" t="str">
        <f>IFERROR(__xludf.DUMMYFUNCTION("""COMPUTED_VALUE"""),"Одеса")</f>
        <v>Одеса</v>
      </c>
      <c r="D94" s="2" t="str">
        <f>IFERROR(__xludf.DUMMYFUNCTION("""COMPUTED_VALUE"""),"Неактивний")</f>
        <v>Неактивний</v>
      </c>
      <c r="E94" s="2" t="str">
        <f>IFERROR(__xludf.DUMMYFUNCTION("""COMPUTED_VALUE"""),"Email")</f>
        <v>Email</v>
      </c>
    </row>
    <row r="95">
      <c r="A95" s="2">
        <f>IFERROR(__xludf.DUMMYFUNCTION("""COMPUTED_VALUE"""),1094.0)</f>
        <v>1094</v>
      </c>
      <c r="B95" s="2" t="str">
        <f>IFERROR(__xludf.DUMMYFUNCTION("""COMPUTED_VALUE"""),"Данило")</f>
        <v>Данило</v>
      </c>
      <c r="C95" s="2" t="str">
        <f>IFERROR(__xludf.DUMMYFUNCTION("""COMPUTED_VALUE"""),"Харків")</f>
        <v>Харків</v>
      </c>
      <c r="D95" s="2" t="str">
        <f>IFERROR(__xludf.DUMMYFUNCTION("""COMPUTED_VALUE"""),"Активний")</f>
        <v>Активний</v>
      </c>
      <c r="E95" s="2" t="str">
        <f>IFERROR(__xludf.DUMMYFUNCTION("""COMPUTED_VALUE"""),"Google Ads")</f>
        <v>Google Ads</v>
      </c>
    </row>
    <row r="96">
      <c r="A96" s="2">
        <f>IFERROR(__xludf.DUMMYFUNCTION("""COMPUTED_VALUE"""),1095.0)</f>
        <v>1095</v>
      </c>
      <c r="B96" s="2" t="str">
        <f>IFERROR(__xludf.DUMMYFUNCTION("""COMPUTED_VALUE"""),"Станіслав")</f>
        <v>Станіслав</v>
      </c>
      <c r="C96" s="2" t="str">
        <f>IFERROR(__xludf.DUMMYFUNCTION("""COMPUTED_VALUE"""),"Дніпро")</f>
        <v>Дніпро</v>
      </c>
      <c r="D96" s="2" t="str">
        <f>IFERROR(__xludf.DUMMYFUNCTION("""COMPUTED_VALUE"""),"Потенційний")</f>
        <v>Потенційний</v>
      </c>
      <c r="E96" s="2" t="str">
        <f>IFERROR(__xludf.DUMMYFUNCTION("""COMPUTED_VALUE"""),"YouTube")</f>
        <v>YouTube</v>
      </c>
    </row>
    <row r="97">
      <c r="A97" s="2">
        <f>IFERROR(__xludf.DUMMYFUNCTION("""COMPUTED_VALUE"""),1096.0)</f>
        <v>1096</v>
      </c>
      <c r="B97" s="2" t="str">
        <f>IFERROR(__xludf.DUMMYFUNCTION("""COMPUTED_VALUE"""),"Юрій")</f>
        <v>Юрій</v>
      </c>
      <c r="C97" s="2" t="str">
        <f>IFERROR(__xludf.DUMMYFUNCTION("""COMPUTED_VALUE"""),"Вінниця")</f>
        <v>Вінниця</v>
      </c>
      <c r="D97" s="2" t="str">
        <f>IFERROR(__xludf.DUMMYFUNCTION("""COMPUTED_VALUE"""),"Неактивний")</f>
        <v>Неактивний</v>
      </c>
      <c r="E97" s="2" t="str">
        <f>IFERROR(__xludf.DUMMYFUNCTION("""COMPUTED_VALUE"""),"TikTok")</f>
        <v>TikTok</v>
      </c>
    </row>
    <row r="98">
      <c r="A98" s="2">
        <f>IFERROR(__xludf.DUMMYFUNCTION("""COMPUTED_VALUE"""),1097.0)</f>
        <v>1097</v>
      </c>
      <c r="B98" s="2" t="str">
        <f>IFERROR(__xludf.DUMMYFUNCTION("""COMPUTED_VALUE"""),"Ніна")</f>
        <v>Ніна</v>
      </c>
      <c r="C98" s="2" t="str">
        <f>IFERROR(__xludf.DUMMYFUNCTION("""COMPUTED_VALUE"""),"Запоріжжя")</f>
        <v>Запоріжжя</v>
      </c>
      <c r="D98" s="2" t="str">
        <f>IFERROR(__xludf.DUMMYFUNCTION("""COMPUTED_VALUE"""),"Активний")</f>
        <v>Активний</v>
      </c>
      <c r="E98" s="2" t="str">
        <f>IFERROR(__xludf.DUMMYFUNCTION("""COMPUTED_VALUE"""),"Instagram")</f>
        <v>Instagram</v>
      </c>
    </row>
    <row r="99">
      <c r="A99" s="2">
        <f>IFERROR(__xludf.DUMMYFUNCTION("""COMPUTED_VALUE"""),1098.0)</f>
        <v>1098</v>
      </c>
      <c r="B99" s="2" t="str">
        <f>IFERROR(__xludf.DUMMYFUNCTION("""COMPUTED_VALUE"""),"Валентина")</f>
        <v>Валентина</v>
      </c>
      <c r="C99" s="2" t="str">
        <f>IFERROR(__xludf.DUMMYFUNCTION("""COMPUTED_VALUE"""),"Полтава")</f>
        <v>Полтава</v>
      </c>
      <c r="D99" s="2" t="str">
        <f>IFERROR(__xludf.DUMMYFUNCTION("""COMPUTED_VALUE"""),"Потенційний")</f>
        <v>Потенційний</v>
      </c>
      <c r="E99" s="2" t="str">
        <f>IFERROR(__xludf.DUMMYFUNCTION("""COMPUTED_VALUE"""),"Facebook")</f>
        <v>Facebook</v>
      </c>
    </row>
    <row r="100">
      <c r="A100" s="2">
        <f>IFERROR(__xludf.DUMMYFUNCTION("""COMPUTED_VALUE"""),1099.0)</f>
        <v>1099</v>
      </c>
      <c r="B100" s="2" t="str">
        <f>IFERROR(__xludf.DUMMYFUNCTION("""COMPUTED_VALUE"""),"Іван")</f>
        <v>Іван</v>
      </c>
      <c r="C100" s="2" t="str">
        <f>IFERROR(__xludf.DUMMYFUNCTION("""COMPUTED_VALUE"""),"Черкаси")</f>
        <v>Черкаси</v>
      </c>
      <c r="D100" s="2" t="str">
        <f>IFERROR(__xludf.DUMMYFUNCTION("""COMPUTED_VALUE"""),"Неактивний")</f>
        <v>Неактивний</v>
      </c>
      <c r="E100" s="2" t="str">
        <f>IFERROR(__xludf.DUMMYFUNCTION("""COMPUTED_VALUE"""),"Email")</f>
        <v>Email</v>
      </c>
    </row>
    <row r="101">
      <c r="A101" s="2">
        <f>IFERROR(__xludf.DUMMYFUNCTION("""COMPUTED_VALUE"""),1100.0)</f>
        <v>1100</v>
      </c>
      <c r="B101" s="2" t="str">
        <f>IFERROR(__xludf.DUMMYFUNCTION("""COMPUTED_VALUE"""),"Кирило")</f>
        <v>Кирило</v>
      </c>
      <c r="C101" s="2" t="str">
        <f>IFERROR(__xludf.DUMMYFUNCTION("""COMPUTED_VALUE"""),"Ужгород")</f>
        <v>Ужгород</v>
      </c>
      <c r="D101" s="2" t="str">
        <f>IFERROR(__xludf.DUMMYFUNCTION("""COMPUTED_VALUE"""),"Активний")</f>
        <v>Активний</v>
      </c>
      <c r="E101" s="2" t="str">
        <f>IFERROR(__xludf.DUMMYFUNCTION("""COMPUTED_VALUE"""),"Google Ads")</f>
        <v>Google Ads</v>
      </c>
    </row>
  </sheetData>
  <autoFilter ref="$A$1:$E$1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5.75"/>
    <col customWidth="1" min="3" max="3" width="16.63"/>
    <col customWidth="1" min="4" max="4" width="12.25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4</v>
      </c>
      <c r="B2" s="2" t="str">
        <f>VLOOKUP($A2,crm_data!$B$1:$E$101,3,0)</f>
        <v>Потенційний</v>
      </c>
      <c r="C2" s="2" t="str">
        <f>VLOOKUP($A2,crm_data!$B$1:$E$101,4,0)</f>
        <v>YouTube</v>
      </c>
      <c r="D2" s="2">
        <f>MATCH($A2,crm_data!$B$2:$B997,0)</f>
        <v>5</v>
      </c>
    </row>
    <row r="3">
      <c r="A3" s="4" t="s">
        <v>5</v>
      </c>
      <c r="B3" s="2" t="str">
        <f>VLOOKUP($A3,crm_data!$B$1:$E$101,3,0)</f>
        <v>Потенційний</v>
      </c>
      <c r="C3" s="2" t="str">
        <f>VLOOKUP($A3,crm_data!$B$1:$E$101,4,0)</f>
        <v>Facebook</v>
      </c>
      <c r="D3" s="2">
        <f>MATCH($A3,crm_data!$B$2:$B997,0)</f>
        <v>14</v>
      </c>
    </row>
    <row r="4">
      <c r="A4" s="4" t="s">
        <v>6</v>
      </c>
      <c r="B4" s="2" t="str">
        <f>VLOOKUP($A4,crm_data!$B$1:$E$101,3,0)</f>
        <v>Неактивний</v>
      </c>
      <c r="C4" s="2" t="str">
        <f>VLOOKUP($A4,crm_data!$B$1:$E$101,4,0)</f>
        <v>Email</v>
      </c>
      <c r="D4" s="2">
        <f>MATCH($A4,crm_data!$B$2:$B997,0)</f>
        <v>27</v>
      </c>
    </row>
    <row r="5">
      <c r="A5" s="4" t="s">
        <v>7</v>
      </c>
      <c r="B5" s="2" t="str">
        <f>VLOOKUP($A5,crm_data!$B$1:$E$101,3,0)</f>
        <v>Неактивний</v>
      </c>
      <c r="C5" s="2" t="str">
        <f>VLOOKUP($A5,crm_data!$B$1:$E$101,4,0)</f>
        <v>TikTok</v>
      </c>
      <c r="D5" s="2">
        <f>MATCH($A5,crm_data!$B$2:$B997,0)</f>
        <v>18</v>
      </c>
    </row>
    <row r="6">
      <c r="A6" s="2" t="s">
        <v>8</v>
      </c>
      <c r="B6" s="2" t="str">
        <f>VLOOKUP($A6,crm_data!$B$1:$E$101,3,0)</f>
        <v>Активний</v>
      </c>
      <c r="C6" s="2" t="str">
        <f>VLOOKUP($A6,crm_data!$B$1:$E$101,4,0)</f>
        <v>Google Ads</v>
      </c>
      <c r="D6" s="2">
        <f>MATCH($A6,crm_data!$B$2:$B997,0)</f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5">
        <v>45919.4088581713</v>
      </c>
      <c r="B1" s="4" t="s">
        <v>9</v>
      </c>
      <c r="C1" s="4" t="s">
        <v>10</v>
      </c>
    </row>
    <row r="2">
      <c r="A2" s="5">
        <v>45919.40964387731</v>
      </c>
      <c r="B2" s="4" t="s">
        <v>11</v>
      </c>
      <c r="C2" s="4" t="s">
        <v>12</v>
      </c>
    </row>
    <row r="3">
      <c r="A3" s="5">
        <v>45919.411245358795</v>
      </c>
      <c r="B3" s="4" t="s">
        <v>13</v>
      </c>
      <c r="C3" s="4" t="s">
        <v>14</v>
      </c>
    </row>
    <row r="4">
      <c r="A4" s="5">
        <v>45919.411514374995</v>
      </c>
      <c r="B4" s="4" t="s">
        <v>4</v>
      </c>
      <c r="C4" s="4" t="s">
        <v>10</v>
      </c>
    </row>
    <row r="5">
      <c r="A5" s="5">
        <v>45919.411534687504</v>
      </c>
      <c r="B5" s="4" t="s">
        <v>5</v>
      </c>
      <c r="C5" s="4" t="s">
        <v>10</v>
      </c>
    </row>
    <row r="6">
      <c r="A6" s="5">
        <v>45919.411775127315</v>
      </c>
      <c r="B6" s="4" t="s">
        <v>6</v>
      </c>
      <c r="C6" s="4" t="s">
        <v>14</v>
      </c>
    </row>
    <row r="7">
      <c r="A7" s="5">
        <v>45919.41220731482</v>
      </c>
      <c r="B7" s="4" t="s">
        <v>15</v>
      </c>
      <c r="C7" s="4" t="s">
        <v>10</v>
      </c>
    </row>
    <row r="8">
      <c r="A8" s="5">
        <v>45919.41233017361</v>
      </c>
      <c r="B8" s="4" t="s">
        <v>16</v>
      </c>
      <c r="C8" s="4" t="s">
        <v>12</v>
      </c>
    </row>
    <row r="9">
      <c r="A9" s="5">
        <v>45919.41256173611</v>
      </c>
      <c r="B9" s="4" t="s">
        <v>7</v>
      </c>
      <c r="C9" s="4" t="s">
        <v>14</v>
      </c>
    </row>
  </sheetData>
  <drawing r:id="rId1"/>
</worksheet>
</file>