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trata_domasne" sheetId="1" r:id="rId5"/>
    <sheet state="visible" name="Pivot Table 1" sheetId="2" r:id="rId6"/>
    <sheet state="visible" name="Pivot Table 2" sheetId="3" r:id="rId7"/>
    <sheet state="visible" name="Побудова графіків" sheetId="4" r:id="rId8"/>
    <sheet state="visible" name="Аналітичний дашборд" sheetId="5" r:id="rId9"/>
  </sheets>
  <definedNames>
    <definedName name="KPI_SUM_MAX_COUNT">vitrata_domasne!$G$1:$I$2</definedName>
    <definedName name="SORTTABLE">vitrata_domasne!$O$1:$S$101</definedName>
    <definedName name="FILTER_ABOVE1000">vitrata_domasne!$J$1:$N$101</definedName>
    <definedName name="KPI_SUM_TREND">vitrata_domasne!$T$1:$T$2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<sst xmlns="http://schemas.openxmlformats.org/spreadsheetml/2006/main" count="640" uniqueCount="71">
  <si>
    <t>Ім'я</t>
  </si>
  <si>
    <t>Категорія</t>
  </si>
  <si>
    <t>Сума покупки</t>
  </si>
  <si>
    <t>Місто</t>
  </si>
  <si>
    <t>Дата покупки</t>
  </si>
  <si>
    <t>Статус</t>
  </si>
  <si>
    <t>Загальна сума</t>
  </si>
  <si>
    <t>Найбільша покупка</t>
  </si>
  <si>
    <t>Кількість клієнтів</t>
  </si>
  <si>
    <t>Генерація таблиці покупок</t>
  </si>
  <si>
    <t>Сортування таблиці покупок</t>
  </si>
  <si>
    <t>Коливання суми чеку</t>
  </si>
  <si>
    <t>Наталія</t>
  </si>
  <si>
    <t>A</t>
  </si>
  <si>
    <t>Київ</t>
  </si>
  <si>
    <t>Світлана</t>
  </si>
  <si>
    <t>B</t>
  </si>
  <si>
    <t>Харків</t>
  </si>
  <si>
    <t>Петро</t>
  </si>
  <si>
    <t>Людмила</t>
  </si>
  <si>
    <t>C</t>
  </si>
  <si>
    <t>Одеса</t>
  </si>
  <si>
    <t>Андрій</t>
  </si>
  <si>
    <t>Львів</t>
  </si>
  <si>
    <t>Дмитро</t>
  </si>
  <si>
    <t>Григорій</t>
  </si>
  <si>
    <t>Олена</t>
  </si>
  <si>
    <t>Назар</t>
  </si>
  <si>
    <t>Артур</t>
  </si>
  <si>
    <t>Анна</t>
  </si>
  <si>
    <t>Богдан</t>
  </si>
  <si>
    <t>Ксенія</t>
  </si>
  <si>
    <t>Ігор</t>
  </si>
  <si>
    <t>Марина</t>
  </si>
  <si>
    <t>Лариса</t>
  </si>
  <si>
    <t>Мирослава</t>
  </si>
  <si>
    <t>Іван</t>
  </si>
  <si>
    <t>Юрій</t>
  </si>
  <si>
    <t>Остап</t>
  </si>
  <si>
    <t>Катерина</t>
  </si>
  <si>
    <t>Ольга</t>
  </si>
  <si>
    <t>Ростислав</t>
  </si>
  <si>
    <t>Валентина</t>
  </si>
  <si>
    <t>Алла</t>
  </si>
  <si>
    <t>Ганна</t>
  </si>
  <si>
    <t>Лідія</t>
  </si>
  <si>
    <t>Оксана</t>
  </si>
  <si>
    <t>Максим</t>
  </si>
  <si>
    <t>Роман</t>
  </si>
  <si>
    <t>Сергій</t>
  </si>
  <si>
    <t>Дарина</t>
  </si>
  <si>
    <t>Ілля</t>
  </si>
  <si>
    <t>Софія</t>
  </si>
  <si>
    <t>Юлія</t>
  </si>
  <si>
    <t>Михайло</t>
  </si>
  <si>
    <t>Ніна</t>
  </si>
  <si>
    <t>Тетяна</t>
  </si>
  <si>
    <t>Жанна</t>
  </si>
  <si>
    <t>Тарас</t>
  </si>
  <si>
    <t>Владислав</t>
  </si>
  <si>
    <t>Віктор</t>
  </si>
  <si>
    <t>Олег</t>
  </si>
  <si>
    <t>Василь</t>
  </si>
  <si>
    <t>Вероніка</t>
  </si>
  <si>
    <t>Ірина</t>
  </si>
  <si>
    <t>SUM of Сума покупки</t>
  </si>
  <si>
    <t>Grand Total</t>
  </si>
  <si>
    <t>AVERAGE of Сума покупки</t>
  </si>
  <si>
    <t>Аналіз витрат клієнтів</t>
  </si>
  <si>
    <t>Обсяг продажів по містам</t>
  </si>
  <si>
    <t>Середній чек за категоріями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</si>
</sst>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0.0"/>
      <color rgb="FF000000"/>
      <name val="Arial"/>
      <scheme val="minor"/>
    </font>
    <font>
      <b/>
      <color theme="1"/>
      <name val="Roboto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sz val="12.0"/>
      <color rgb="FF0000FF"/>
      <name val="Arial"/>
      <scheme val="minor"/>
    </font>
    <font>
      <b/>
      <sz val="11.0"/>
      <color rgb="FF0000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4" xfId="0" applyAlignment="1" applyFont="1" applyNumberForma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4" numFmtId="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Font="1"/>
    <xf borderId="0" fillId="0" fontId="5" numFmtId="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4" fillId="0" fontId="4" numFmtId="0" xfId="0" applyBorder="1" applyFont="1"/>
    <xf borderId="0" fillId="0" fontId="4" numFmtId="4" xfId="0" applyFont="1" applyNumberFormat="1"/>
    <xf borderId="0" fillId="0" fontId="4" numFmtId="164" xfId="0" applyFont="1" applyNumberFormat="1"/>
    <xf borderId="0" fillId="0" fontId="4" numFmtId="0" xfId="0" applyAlignment="1" applyFont="1">
      <alignment horizontal="center"/>
    </xf>
    <xf borderId="0" fillId="0" fontId="6" numFmtId="0" xfId="0" applyAlignment="1" applyFont="1">
      <alignment horizontal="left" readingOrder="0"/>
    </xf>
    <xf borderId="0" fillId="2" fontId="5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3" fontId="5" numFmtId="0" xfId="0" applyAlignment="1" applyFill="1" applyFont="1">
      <alignment horizontal="center"/>
    </xf>
    <xf borderId="0" fillId="4" fontId="5" numFmtId="0" xfId="0" applyAlignment="1" applyFill="1" applyFont="1">
      <alignment horizontal="right"/>
    </xf>
    <xf borderId="0" fillId="4" fontId="5" numFmtId="4" xfId="0" applyFont="1" applyNumberFormat="1"/>
    <xf borderId="0" fillId="3" fontId="5" numFmtId="0" xfId="0" applyAlignment="1" applyFont="1">
      <alignment horizontal="center" vertical="center"/>
    </xf>
    <xf borderId="0" fillId="3" fontId="5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Частка міст за обсягом продажів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Середній чек за категоріями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2'!$A$2:$A$4</c:f>
            </c:strRef>
          </c:cat>
          <c:val>
            <c:numRef>
              <c:f>'Pivot Table 2'!$B$2:$B$4</c:f>
              <c:numCache/>
            </c:numRef>
          </c:val>
        </c:ser>
        <c:axId val="1767718392"/>
        <c:axId val="714314886"/>
      </c:barChart>
      <c:catAx>
        <c:axId val="1767718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Категорія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4314886"/>
      </c:catAx>
      <c:valAx>
        <c:axId val="7143148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Сумма чеку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71839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Частка міст за обсягом продажів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1'!$A$2:$A$5</c:f>
            </c:strRef>
          </c:cat>
          <c:val>
            <c:numRef>
              <c:f>'Pivot Table 1'!$B$2:$B$5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Середній чек за категоріями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2'!$A$2:$A$4</c:f>
            </c:strRef>
          </c:cat>
          <c:val>
            <c:numRef>
              <c:f>'Pivot Table 2'!$B$2:$B$4</c:f>
              <c:numCache/>
            </c:numRef>
          </c:val>
        </c:ser>
        <c:axId val="397364914"/>
        <c:axId val="1024577514"/>
      </c:barChart>
      <c:catAx>
        <c:axId val="3973649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Категорія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4577514"/>
      </c:catAx>
      <c:valAx>
        <c:axId val="10245775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Сумма чеку</a:t>
                </a:r>
              </a:p>
            </c:rich>
          </c:tx>
          <c:overlay val="0"/>
        </c:title>
        <c:numFmt formatCode="General" sourceLinked="1"/>
        <c:majorTickMark val="in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7364914"/>
      </c:valAx>
    </c:plotArea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485775</xdr:colOff>
      <xdr:row>1</xdr:row>
      <xdr:rowOff>76200</xdr:rowOff>
    </xdr:from>
    <xdr:ext cx="5715000" cy="3533775"/>
    <xdr:graphicFrame>
      <xdr:nvGraphicFramePr>
        <xdr:cNvPr id="1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133350</xdr:colOff>
      <xdr:row>1</xdr:row>
      <xdr:rowOff>76200</xdr:rowOff>
    </xdr:from>
    <xdr:ext cx="5715000" cy="3533775"/>
    <xdr:graphicFrame>
      <xdr:nvGraphicFramePr>
        <xdr:cNvPr id="2" name="Chart 2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285750</xdr:colOff>
      <xdr:row>4</xdr:row>
      <xdr:rowOff>152400</xdr:rowOff>
    </xdr:from>
    <xdr:ext cx="4362450" cy="2695575"/>
    <xdr:graphicFrame>
      <xdr:nvGraphicFramePr>
        <xdr:cNvPr id="3" name="Chart 3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285750</xdr:colOff>
      <xdr:row>20</xdr:row>
      <xdr:rowOff>28575</xdr:rowOff>
    </xdr:from>
    <xdr:ext cx="4362450" cy="2695575"/>
    <xdr:graphicFrame>
      <xdr:nvGraphicFramePr>
        <xdr:cNvPr id="4" name="Chart 4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101" sheet="vitrata_domasne"/>
  </cacheSource>
  <cacheFields>
    <cacheField name="Ім'я" numFmtId="0">
      <sharedItems>
        <s v="Наталія"/>
        <s v="Світлана"/>
        <s v="Людмила"/>
        <s v="Дмитро"/>
        <s v="Олена"/>
        <s v="Анна"/>
        <s v="Ігор"/>
        <s v="Марина"/>
        <s v="Лариса"/>
        <s v="Мирослава"/>
        <s v="Іван"/>
        <s v="Ксенія"/>
        <s v="Григорій"/>
        <s v="Остап"/>
        <s v="Катерина"/>
        <s v="Ольга"/>
        <s v="Ростислав"/>
        <s v="Валентина"/>
        <s v="Алла"/>
        <s v="Петро"/>
        <s v="Андрій"/>
        <s v="Оксана"/>
        <s v="Роман"/>
        <s v="Дарина"/>
        <s v="Юрій"/>
        <s v="Юлія"/>
        <s v="Назар"/>
        <s v="Михайло"/>
        <s v="Лідія"/>
        <s v="Сергій"/>
        <s v="Жанна"/>
        <s v="Ніна"/>
        <s v="Ганна"/>
        <s v="Владислав"/>
        <s v="Віктор"/>
        <s v="Артур"/>
        <s v="Богдан"/>
        <s v="Олег"/>
        <s v="Тарас"/>
        <s v="Василь"/>
        <s v="Максим"/>
        <s v="Вероніка"/>
        <s v="Ірина"/>
        <s v="Тетяна"/>
        <s v="Ілля"/>
        <s v="Софія"/>
      </sharedItems>
    </cacheField>
    <cacheField name="Категорія" numFmtId="0">
      <sharedItems>
        <s v="A"/>
        <s v="B"/>
        <s v="C"/>
      </sharedItems>
    </cacheField>
    <cacheField name="Сума покупки" numFmtId="4">
      <sharedItems containsSemiMixedTypes="0" containsString="0" containsNumber="1" containsInteger="1">
        <n v="1091.0"/>
        <n v="1213.0"/>
        <n v="989.0"/>
        <n v="280.0"/>
        <n v="281.0"/>
        <n v="1676.0"/>
        <n v="1699.0"/>
        <n v="1700.0"/>
        <n v="648.0"/>
        <n v="415.0"/>
        <n v="449.0"/>
        <n v="944.0"/>
        <n v="301.0"/>
        <n v="1701.0"/>
        <n v="1770.0"/>
        <n v="781.0"/>
        <n v="708.0"/>
        <n v="1361.0"/>
        <n v="779.0"/>
        <n v="1512.0"/>
        <n v="809.0"/>
        <n v="438.0"/>
        <n v="1529.0"/>
        <n v="362.0"/>
        <n v="433.0"/>
        <n v="709.0"/>
        <n v="1155.0"/>
        <n v="838.0"/>
        <n v="947.0"/>
        <n v="1668.0"/>
        <n v="919.0"/>
        <n v="1553.0"/>
        <n v="450.0"/>
        <n v="1028.0"/>
        <n v="778.0"/>
        <n v="957.0"/>
        <n v="1311.0"/>
        <n v="439.0"/>
        <n v="1763.0"/>
        <n v="1585.0"/>
        <n v="1001.0"/>
        <n v="1378.0"/>
        <n v="1606.0"/>
        <n v="1158.0"/>
        <n v="1230.0"/>
        <n v="743.0"/>
        <n v="1156.0"/>
        <n v="1507.0"/>
        <n v="283.0"/>
        <n v="1449.0"/>
        <n v="1289.0"/>
        <n v="1680.0"/>
        <n v="792.0"/>
        <n v="1066.0"/>
        <n v="1588.0"/>
        <n v="491.0"/>
        <n v="1191.0"/>
        <n v="1604.0"/>
        <n v="990.0"/>
        <n v="472.0"/>
        <n v="1041.0"/>
        <n v="1025.0"/>
        <n v="496.0"/>
        <n v="720.0"/>
        <n v="650.0"/>
        <n v="387.0"/>
        <n v="1005.0"/>
        <n v="476.0"/>
        <n v="735.0"/>
        <n v="1197.0"/>
        <n v="1739.0"/>
        <n v="210.0"/>
        <n v="1793.0"/>
        <n v="623.0"/>
        <n v="1112.0"/>
        <n v="1393.0"/>
        <n v="468.0"/>
        <n v="887.0"/>
        <n v="1111.0"/>
        <n v="1625.0"/>
        <n v="1782.0"/>
        <n v="835.0"/>
        <n v="597.0"/>
        <n v="1520.0"/>
        <n v="454.0"/>
        <n v="1335.0"/>
        <n v="1785.0"/>
        <n v="1480.0"/>
        <n v="1042.0"/>
        <n v="815.0"/>
        <n v="553.0"/>
        <n v="1365.0"/>
        <n v="1325.0"/>
        <n v="940.0"/>
        <n v="1083.0"/>
        <n v="528.0"/>
        <n v="1278.0"/>
        <n v="463.0"/>
        <n v="296.0"/>
      </sharedItems>
    </cacheField>
    <cacheField name="Місто" numFmtId="0">
      <sharedItems>
        <s v="Київ"/>
        <s v="Харків"/>
        <s v="Одеса"/>
        <s v="Львів"/>
      </sharedItems>
    </cacheField>
    <cacheField name="Дата покупки" numFmtId="164">
      <sharedItems containsSemiMixedTypes="0" containsDate="1" containsString="0">
        <d v="2025-04-17T00:00:00Z"/>
        <d v="2025-04-02T00:00:00Z"/>
        <d v="2025-04-26T00:00:00Z"/>
        <d v="2025-04-29T00:00:00Z"/>
        <d v="2025-04-08T00:00:00Z"/>
        <d v="2025-04-28T00:00:00Z"/>
        <d v="2025-04-10T00:00:00Z"/>
        <d v="2025-04-27T00:00:00Z"/>
        <d v="2025-04-24T00:00:00Z"/>
        <d v="2025-04-23T00:00:00Z"/>
        <d v="2025-05-01T00:00:00Z"/>
        <d v="2025-04-03T00:00:00Z"/>
        <d v="2025-04-25T00:00:00Z"/>
        <d v="2025-04-11T00:00:00Z"/>
        <d v="2025-04-13T00:00:00Z"/>
        <d v="2025-04-14T00:00:00Z"/>
        <d v="2025-04-21T00:00:00Z"/>
        <d v="2025-04-06T00:00:00Z"/>
        <d v="2025-04-05T00:00:00Z"/>
        <d v="2025-04-16T00:00:00Z"/>
        <d v="2025-04-12T00:00:00Z"/>
        <d v="2025-04-15T00:00:00Z"/>
        <d v="2025-04-20T00:00:00Z"/>
        <d v="2025-04-19T00:00:00Z"/>
        <d v="2025-04-22T00:00:00Z"/>
        <d v="2025-04-07T00:00:00Z"/>
        <d v="2025-04-04T00:00:00Z"/>
        <d v="2025-04-01T00:00:00Z"/>
        <d v="2025-04-18T00:00:00Z"/>
        <d v="2025-04-09T00:00:00Z"/>
      </sharedItems>
    </cacheField>
    <cacheField name="Статус" numFmtId="0">
      <sharedItems>
        <s v="Преміум"/>
        <s v="Звичайний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3:B8" firstHeaderRow="0" firstDataRow="1" firstDataCol="0" rowPageCount="1" colPageCount="1"/>
  <pivotFields>
    <pivotField name="Ім'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Категорія" axis="axisPage" compact="0" outline="0" multipleItemSelectionAllowed="1" showAll="0">
      <items>
        <item x="0"/>
        <item x="1"/>
        <item x="2"/>
        <item t="default"/>
      </items>
    </pivotField>
    <pivotField name="Сума покупки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Місто" axis="axisRow" compact="0" outline="0" multipleItemSelectionAllowed="1" showAll="0" sortType="ascending">
      <items>
        <item x="0"/>
        <item x="3"/>
        <item x="2"/>
        <item x="1"/>
        <item t="default"/>
      </items>
    </pivotField>
    <pivotField name="Дата покупки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Статус" compact="0" outline="0" multipleItemSelectionAllowed="1" showAll="0">
      <items>
        <item x="0"/>
        <item x="1"/>
        <item t="default"/>
      </items>
    </pivotField>
  </pivotFields>
  <rowFields>
    <field x="3"/>
  </rowFields>
  <pageFields>
    <pageField fld="1"/>
  </pageFields>
  <dataFields>
    <dataField name="SUM of Сума покупки" fld="2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compact="0" compactData="0">
  <location ref="A1:B5" firstHeaderRow="0" firstDataRow="1" firstDataCol="0"/>
  <pivotFields>
    <pivotField name="Ім'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Категорія" axis="axisRow" compact="0" outline="0" multipleItemSelectionAllowed="1" showAll="0" sortType="ascending">
      <items>
        <item x="0"/>
        <item x="1"/>
        <item x="2"/>
        <item t="default"/>
      </items>
    </pivotField>
    <pivotField name="Сума покупки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name="Місто" compact="0" outline="0" multipleItemSelectionAllowed="1" showAll="0">
      <items>
        <item x="0"/>
        <item x="1"/>
        <item x="2"/>
        <item x="3"/>
        <item t="default"/>
      </items>
    </pivotField>
    <pivotField name="Дата покупки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Статус" compact="0" outline="0" multipleItemSelectionAllowed="1" showAll="0">
      <items>
        <item x="0"/>
        <item x="1"/>
        <item t="default"/>
      </items>
    </pivotField>
  </pivotFields>
  <rowFields>
    <field x="1"/>
  </rowFields>
  <dataFields>
    <dataField name="AVERAGE of Сума покупки" fld="2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4.88"/>
    <col customWidth="1" min="20" max="20" width="40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/>
      <c r="L1" s="6"/>
      <c r="M1" s="6"/>
      <c r="N1" s="7"/>
      <c r="O1" s="8" t="s">
        <v>10</v>
      </c>
      <c r="P1" s="9"/>
      <c r="Q1" s="9"/>
      <c r="R1" s="9"/>
      <c r="S1" s="9"/>
      <c r="T1" s="8" t="s">
        <v>11</v>
      </c>
      <c r="U1" s="10"/>
      <c r="V1" s="10"/>
      <c r="W1" s="10"/>
    </row>
    <row r="2">
      <c r="A2" s="11" t="s">
        <v>12</v>
      </c>
      <c r="B2" s="12" t="s">
        <v>13</v>
      </c>
      <c r="C2" s="13">
        <v>1091.0</v>
      </c>
      <c r="D2" s="11" t="s">
        <v>14</v>
      </c>
      <c r="E2" s="14">
        <v>45764.0</v>
      </c>
      <c r="F2" s="15" t="str">
        <f t="shared" ref="F2:F101" si="1">if(C2&gt;1000,"Преміум","Звичайний")</f>
        <v>Преміум</v>
      </c>
      <c r="G2" s="16">
        <f>SUM(C2:C101)</f>
        <v>102575</v>
      </c>
      <c r="H2" s="16">
        <f>MAX(C2:C101)</f>
        <v>1793</v>
      </c>
      <c r="I2" s="17">
        <f>COUNTA(A2:A101)</f>
        <v>100</v>
      </c>
      <c r="J2" s="18" t="str">
        <f>IFERROR(__xludf.DUMMYFUNCTION("FILTER(A2:E101,C2:C101&gt;1000)"),"Наталія")</f>
        <v>Наталія</v>
      </c>
      <c r="K2" s="15" t="str">
        <f>IFERROR(__xludf.DUMMYFUNCTION("""COMPUTED_VALUE"""),"A")</f>
        <v>A</v>
      </c>
      <c r="L2" s="19">
        <f>IFERROR(__xludf.DUMMYFUNCTION("""COMPUTED_VALUE"""),1091.0)</f>
        <v>1091</v>
      </c>
      <c r="M2" s="15" t="str">
        <f>IFERROR(__xludf.DUMMYFUNCTION("""COMPUTED_VALUE"""),"Київ")</f>
        <v>Київ</v>
      </c>
      <c r="N2" s="20">
        <f>IFERROR(__xludf.DUMMYFUNCTION("""COMPUTED_VALUE"""),45764.0)</f>
        <v>45764</v>
      </c>
      <c r="O2" s="18" t="str">
        <f t="array" ref="O2:S101">sort(A2:E101,3,false)</f>
        <v>Вероніка</v>
      </c>
      <c r="P2" s="15" t="s">
        <v>13</v>
      </c>
      <c r="Q2" s="19">
        <v>1793.0</v>
      </c>
      <c r="R2" s="15" t="s">
        <v>14</v>
      </c>
      <c r="S2" s="20">
        <v>45776.0</v>
      </c>
      <c r="T2" s="15"/>
    </row>
    <row r="3">
      <c r="A3" s="11" t="s">
        <v>15</v>
      </c>
      <c r="B3" s="12" t="s">
        <v>16</v>
      </c>
      <c r="C3" s="13">
        <v>1213.0</v>
      </c>
      <c r="D3" s="11" t="s">
        <v>17</v>
      </c>
      <c r="E3" s="14">
        <v>45749.0</v>
      </c>
      <c r="F3" s="15" t="str">
        <f t="shared" si="1"/>
        <v>Преміум</v>
      </c>
      <c r="J3" s="18" t="str">
        <f>IFERROR(__xludf.DUMMYFUNCTION("""COMPUTED_VALUE"""),"Світлана")</f>
        <v>Світлана</v>
      </c>
      <c r="K3" s="15" t="str">
        <f>IFERROR(__xludf.DUMMYFUNCTION("""COMPUTED_VALUE"""),"B")</f>
        <v>B</v>
      </c>
      <c r="L3" s="19">
        <f>IFERROR(__xludf.DUMMYFUNCTION("""COMPUTED_VALUE"""),1213.0)</f>
        <v>1213</v>
      </c>
      <c r="M3" s="15" t="str">
        <f>IFERROR(__xludf.DUMMYFUNCTION("""COMPUTED_VALUE"""),"Харків")</f>
        <v>Харків</v>
      </c>
      <c r="N3" s="20">
        <f>IFERROR(__xludf.DUMMYFUNCTION("""COMPUTED_VALUE"""),45749.0)</f>
        <v>45749</v>
      </c>
      <c r="O3" s="18" t="s">
        <v>18</v>
      </c>
      <c r="P3" s="15" t="s">
        <v>13</v>
      </c>
      <c r="Q3" s="19">
        <v>1785.0</v>
      </c>
      <c r="R3" s="15" t="s">
        <v>14</v>
      </c>
      <c r="S3" s="20">
        <v>45763.0</v>
      </c>
    </row>
    <row r="4">
      <c r="A4" s="11" t="s">
        <v>19</v>
      </c>
      <c r="B4" s="12" t="s">
        <v>20</v>
      </c>
      <c r="C4" s="13">
        <v>989.0</v>
      </c>
      <c r="D4" s="11" t="s">
        <v>21</v>
      </c>
      <c r="E4" s="14">
        <v>45773.0</v>
      </c>
      <c r="F4" s="15" t="str">
        <f t="shared" si="1"/>
        <v>Звичайний</v>
      </c>
      <c r="J4" s="18" t="str">
        <f>IFERROR(__xludf.DUMMYFUNCTION("""COMPUTED_VALUE"""),"Наталія")</f>
        <v>Наталія</v>
      </c>
      <c r="K4" s="15" t="str">
        <f>IFERROR(__xludf.DUMMYFUNCTION("""COMPUTED_VALUE"""),"A")</f>
        <v>A</v>
      </c>
      <c r="L4" s="19">
        <f>IFERROR(__xludf.DUMMYFUNCTION("""COMPUTED_VALUE"""),1676.0)</f>
        <v>1676</v>
      </c>
      <c r="M4" s="15" t="str">
        <f>IFERROR(__xludf.DUMMYFUNCTION("""COMPUTED_VALUE"""),"Одеса")</f>
        <v>Одеса</v>
      </c>
      <c r="N4" s="20">
        <f>IFERROR(__xludf.DUMMYFUNCTION("""COMPUTED_VALUE"""),45775.0)</f>
        <v>45775</v>
      </c>
      <c r="O4" s="18" t="s">
        <v>22</v>
      </c>
      <c r="P4" s="15" t="s">
        <v>13</v>
      </c>
      <c r="Q4" s="19">
        <v>1782.0</v>
      </c>
      <c r="R4" s="15" t="s">
        <v>23</v>
      </c>
      <c r="S4" s="20">
        <v>45750.0</v>
      </c>
    </row>
    <row r="5">
      <c r="A5" s="11" t="s">
        <v>24</v>
      </c>
      <c r="B5" s="12" t="s">
        <v>16</v>
      </c>
      <c r="C5" s="13">
        <v>280.0</v>
      </c>
      <c r="D5" s="11" t="s">
        <v>14</v>
      </c>
      <c r="E5" s="14">
        <v>45776.0</v>
      </c>
      <c r="F5" s="15" t="str">
        <f t="shared" si="1"/>
        <v>Звичайний</v>
      </c>
      <c r="J5" s="18" t="str">
        <f>IFERROR(__xludf.DUMMYFUNCTION("""COMPUTED_VALUE"""),"Анна")</f>
        <v>Анна</v>
      </c>
      <c r="K5" s="15" t="str">
        <f>IFERROR(__xludf.DUMMYFUNCTION("""COMPUTED_VALUE"""),"C")</f>
        <v>C</v>
      </c>
      <c r="L5" s="19">
        <f>IFERROR(__xludf.DUMMYFUNCTION("""COMPUTED_VALUE"""),1699.0)</f>
        <v>1699</v>
      </c>
      <c r="M5" s="15" t="str">
        <f>IFERROR(__xludf.DUMMYFUNCTION("""COMPUTED_VALUE"""),"Київ")</f>
        <v>Київ</v>
      </c>
      <c r="N5" s="20">
        <f>IFERROR(__xludf.DUMMYFUNCTION("""COMPUTED_VALUE"""),45757.0)</f>
        <v>45757</v>
      </c>
      <c r="O5" s="18" t="s">
        <v>25</v>
      </c>
      <c r="P5" s="15" t="s">
        <v>13</v>
      </c>
      <c r="Q5" s="19">
        <v>1770.0</v>
      </c>
      <c r="R5" s="15" t="s">
        <v>17</v>
      </c>
      <c r="S5" s="20">
        <v>45755.0</v>
      </c>
    </row>
    <row r="6">
      <c r="A6" s="11" t="s">
        <v>26</v>
      </c>
      <c r="B6" s="12" t="s">
        <v>16</v>
      </c>
      <c r="C6" s="13">
        <v>281.0</v>
      </c>
      <c r="D6" s="11" t="s">
        <v>23</v>
      </c>
      <c r="E6" s="14">
        <v>45755.0</v>
      </c>
      <c r="F6" s="15" t="str">
        <f t="shared" si="1"/>
        <v>Звичайний</v>
      </c>
      <c r="J6" s="18" t="str">
        <f>IFERROR(__xludf.DUMMYFUNCTION("""COMPUTED_VALUE"""),"Олена")</f>
        <v>Олена</v>
      </c>
      <c r="K6" s="15" t="str">
        <f>IFERROR(__xludf.DUMMYFUNCTION("""COMPUTED_VALUE"""),"C")</f>
        <v>C</v>
      </c>
      <c r="L6" s="19">
        <f>IFERROR(__xludf.DUMMYFUNCTION("""COMPUTED_VALUE"""),1700.0)</f>
        <v>1700</v>
      </c>
      <c r="M6" s="15" t="str">
        <f>IFERROR(__xludf.DUMMYFUNCTION("""COMPUTED_VALUE"""),"Львів")</f>
        <v>Львів</v>
      </c>
      <c r="N6" s="20">
        <f>IFERROR(__xludf.DUMMYFUNCTION("""COMPUTED_VALUE"""),45774.0)</f>
        <v>45774</v>
      </c>
      <c r="O6" s="18" t="s">
        <v>27</v>
      </c>
      <c r="P6" s="15" t="s">
        <v>20</v>
      </c>
      <c r="Q6" s="19">
        <v>1763.0</v>
      </c>
      <c r="R6" s="15" t="s">
        <v>21</v>
      </c>
      <c r="S6" s="20">
        <v>45762.0</v>
      </c>
    </row>
    <row r="7">
      <c r="A7" s="11" t="s">
        <v>12</v>
      </c>
      <c r="B7" s="12" t="s">
        <v>13</v>
      </c>
      <c r="C7" s="13">
        <v>1676.0</v>
      </c>
      <c r="D7" s="11" t="s">
        <v>21</v>
      </c>
      <c r="E7" s="14">
        <v>45775.0</v>
      </c>
      <c r="F7" s="15" t="str">
        <f t="shared" si="1"/>
        <v>Преміум</v>
      </c>
      <c r="J7" s="18" t="str">
        <f>IFERROR(__xludf.DUMMYFUNCTION("""COMPUTED_VALUE"""),"Ксенія")</f>
        <v>Ксенія</v>
      </c>
      <c r="K7" s="15" t="str">
        <f>IFERROR(__xludf.DUMMYFUNCTION("""COMPUTED_VALUE"""),"B")</f>
        <v>B</v>
      </c>
      <c r="L7" s="19">
        <f>IFERROR(__xludf.DUMMYFUNCTION("""COMPUTED_VALUE"""),1701.0)</f>
        <v>1701</v>
      </c>
      <c r="M7" s="15" t="str">
        <f>IFERROR(__xludf.DUMMYFUNCTION("""COMPUTED_VALUE"""),"Львів")</f>
        <v>Львів</v>
      </c>
      <c r="N7" s="20">
        <f>IFERROR(__xludf.DUMMYFUNCTION("""COMPUTED_VALUE"""),45755.0)</f>
        <v>45755</v>
      </c>
      <c r="O7" s="18" t="s">
        <v>28</v>
      </c>
      <c r="P7" s="15" t="s">
        <v>13</v>
      </c>
      <c r="Q7" s="19">
        <v>1763.0</v>
      </c>
      <c r="R7" s="15" t="s">
        <v>23</v>
      </c>
      <c r="S7" s="20">
        <v>45768.0</v>
      </c>
    </row>
    <row r="8">
      <c r="A8" s="11" t="s">
        <v>29</v>
      </c>
      <c r="B8" s="12" t="s">
        <v>20</v>
      </c>
      <c r="C8" s="13">
        <v>1699.0</v>
      </c>
      <c r="D8" s="11" t="s">
        <v>14</v>
      </c>
      <c r="E8" s="14">
        <v>45757.0</v>
      </c>
      <c r="F8" s="15" t="str">
        <f t="shared" si="1"/>
        <v>Преміум</v>
      </c>
      <c r="J8" s="18" t="str">
        <f>IFERROR(__xludf.DUMMYFUNCTION("""COMPUTED_VALUE"""),"Григорій")</f>
        <v>Григорій</v>
      </c>
      <c r="K8" s="15" t="str">
        <f>IFERROR(__xludf.DUMMYFUNCTION("""COMPUTED_VALUE"""),"A")</f>
        <v>A</v>
      </c>
      <c r="L8" s="19">
        <f>IFERROR(__xludf.DUMMYFUNCTION("""COMPUTED_VALUE"""),1770.0)</f>
        <v>1770</v>
      </c>
      <c r="M8" s="15" t="str">
        <f>IFERROR(__xludf.DUMMYFUNCTION("""COMPUTED_VALUE"""),"Харків")</f>
        <v>Харків</v>
      </c>
      <c r="N8" s="20">
        <f>IFERROR(__xludf.DUMMYFUNCTION("""COMPUTED_VALUE"""),45755.0)</f>
        <v>45755</v>
      </c>
      <c r="O8" s="18" t="s">
        <v>30</v>
      </c>
      <c r="P8" s="15" t="s">
        <v>13</v>
      </c>
      <c r="Q8" s="19">
        <v>1739.0</v>
      </c>
      <c r="R8" s="15" t="s">
        <v>17</v>
      </c>
      <c r="S8" s="20">
        <v>45752.0</v>
      </c>
    </row>
    <row r="9">
      <c r="A9" s="11" t="s">
        <v>26</v>
      </c>
      <c r="B9" s="12" t="s">
        <v>20</v>
      </c>
      <c r="C9" s="13">
        <v>1700.0</v>
      </c>
      <c r="D9" s="11" t="s">
        <v>23</v>
      </c>
      <c r="E9" s="14">
        <v>45774.0</v>
      </c>
      <c r="F9" s="15" t="str">
        <f t="shared" si="1"/>
        <v>Преміум</v>
      </c>
      <c r="J9" s="18" t="str">
        <f>IFERROR(__xludf.DUMMYFUNCTION("""COMPUTED_VALUE"""),"Ольга")</f>
        <v>Ольга</v>
      </c>
      <c r="K9" s="15" t="str">
        <f>IFERROR(__xludf.DUMMYFUNCTION("""COMPUTED_VALUE"""),"A")</f>
        <v>A</v>
      </c>
      <c r="L9" s="19">
        <f>IFERROR(__xludf.DUMMYFUNCTION("""COMPUTED_VALUE"""),1361.0)</f>
        <v>1361</v>
      </c>
      <c r="M9" s="15" t="str">
        <f>IFERROR(__xludf.DUMMYFUNCTION("""COMPUTED_VALUE"""),"Харків")</f>
        <v>Харків</v>
      </c>
      <c r="N9" s="20">
        <f>IFERROR(__xludf.DUMMYFUNCTION("""COMPUTED_VALUE"""),45760.0)</f>
        <v>45760</v>
      </c>
      <c r="O9" s="18" t="s">
        <v>31</v>
      </c>
      <c r="P9" s="15" t="s">
        <v>16</v>
      </c>
      <c r="Q9" s="19">
        <v>1701.0</v>
      </c>
      <c r="R9" s="15" t="s">
        <v>23</v>
      </c>
      <c r="S9" s="20">
        <v>45755.0</v>
      </c>
    </row>
    <row r="10">
      <c r="A10" s="11" t="s">
        <v>32</v>
      </c>
      <c r="B10" s="12" t="s">
        <v>13</v>
      </c>
      <c r="C10" s="13">
        <v>648.0</v>
      </c>
      <c r="D10" s="11" t="s">
        <v>21</v>
      </c>
      <c r="E10" s="14">
        <v>45771.0</v>
      </c>
      <c r="F10" s="15" t="str">
        <f t="shared" si="1"/>
        <v>Звичайний</v>
      </c>
      <c r="J10" s="18" t="str">
        <f>IFERROR(__xludf.DUMMYFUNCTION("""COMPUTED_VALUE"""),"Валентина")</f>
        <v>Валентина</v>
      </c>
      <c r="K10" s="15" t="str">
        <f>IFERROR(__xludf.DUMMYFUNCTION("""COMPUTED_VALUE"""),"C")</f>
        <v>C</v>
      </c>
      <c r="L10" s="19">
        <f>IFERROR(__xludf.DUMMYFUNCTION("""COMPUTED_VALUE"""),1512.0)</f>
        <v>1512</v>
      </c>
      <c r="M10" s="15" t="str">
        <f>IFERROR(__xludf.DUMMYFUNCTION("""COMPUTED_VALUE"""),"Харків")</f>
        <v>Харків</v>
      </c>
      <c r="N10" s="20">
        <f>IFERROR(__xludf.DUMMYFUNCTION("""COMPUTED_VALUE"""),45761.0)</f>
        <v>45761</v>
      </c>
      <c r="O10" s="18" t="s">
        <v>26</v>
      </c>
      <c r="P10" s="15" t="s">
        <v>20</v>
      </c>
      <c r="Q10" s="19">
        <v>1700.0</v>
      </c>
      <c r="R10" s="15" t="s">
        <v>23</v>
      </c>
      <c r="S10" s="20">
        <v>45774.0</v>
      </c>
    </row>
    <row r="11">
      <c r="A11" s="11" t="s">
        <v>33</v>
      </c>
      <c r="B11" s="12" t="s">
        <v>16</v>
      </c>
      <c r="C11" s="13">
        <v>415.0</v>
      </c>
      <c r="D11" s="11" t="s">
        <v>14</v>
      </c>
      <c r="E11" s="14">
        <v>45770.0</v>
      </c>
      <c r="F11" s="15" t="str">
        <f t="shared" si="1"/>
        <v>Звичайний</v>
      </c>
      <c r="J11" s="18" t="str">
        <f>IFERROR(__xludf.DUMMYFUNCTION("""COMPUTED_VALUE"""),"Петро")</f>
        <v>Петро</v>
      </c>
      <c r="K11" s="15" t="str">
        <f>IFERROR(__xludf.DUMMYFUNCTION("""COMPUTED_VALUE"""),"C")</f>
        <v>C</v>
      </c>
      <c r="L11" s="19">
        <f>IFERROR(__xludf.DUMMYFUNCTION("""COMPUTED_VALUE"""),1529.0)</f>
        <v>1529</v>
      </c>
      <c r="M11" s="15" t="str">
        <f>IFERROR(__xludf.DUMMYFUNCTION("""COMPUTED_VALUE"""),"Одеса")</f>
        <v>Одеса</v>
      </c>
      <c r="N11" s="20">
        <f>IFERROR(__xludf.DUMMYFUNCTION("""COMPUTED_VALUE"""),45768.0)</f>
        <v>45768</v>
      </c>
      <c r="O11" s="18" t="s">
        <v>29</v>
      </c>
      <c r="P11" s="15" t="s">
        <v>20</v>
      </c>
      <c r="Q11" s="19">
        <v>1699.0</v>
      </c>
      <c r="R11" s="15" t="s">
        <v>14</v>
      </c>
      <c r="S11" s="20">
        <v>45757.0</v>
      </c>
    </row>
    <row r="12">
      <c r="A12" s="11" t="s">
        <v>34</v>
      </c>
      <c r="B12" s="12" t="s">
        <v>16</v>
      </c>
      <c r="C12" s="13">
        <v>449.0</v>
      </c>
      <c r="D12" s="11" t="s">
        <v>21</v>
      </c>
      <c r="E12" s="14">
        <v>45778.0</v>
      </c>
      <c r="F12" s="15" t="str">
        <f t="shared" si="1"/>
        <v>Звичайний</v>
      </c>
      <c r="J12" s="18" t="str">
        <f>IFERROR(__xludf.DUMMYFUNCTION("""COMPUTED_VALUE"""),"Роман")</f>
        <v>Роман</v>
      </c>
      <c r="K12" s="15" t="str">
        <f>IFERROR(__xludf.DUMMYFUNCTION("""COMPUTED_VALUE"""),"A")</f>
        <v>A</v>
      </c>
      <c r="L12" s="19">
        <f>IFERROR(__xludf.DUMMYFUNCTION("""COMPUTED_VALUE"""),1155.0)</f>
        <v>1155</v>
      </c>
      <c r="M12" s="15" t="str">
        <f>IFERROR(__xludf.DUMMYFUNCTION("""COMPUTED_VALUE"""),"Одеса")</f>
        <v>Одеса</v>
      </c>
      <c r="N12" s="20">
        <f>IFERROR(__xludf.DUMMYFUNCTION("""COMPUTED_VALUE"""),45773.0)</f>
        <v>45773</v>
      </c>
      <c r="O12" s="18" t="s">
        <v>12</v>
      </c>
      <c r="P12" s="15" t="s">
        <v>16</v>
      </c>
      <c r="Q12" s="19">
        <v>1680.0</v>
      </c>
      <c r="R12" s="15" t="s">
        <v>23</v>
      </c>
      <c r="S12" s="20">
        <v>45759.0</v>
      </c>
    </row>
    <row r="13">
      <c r="A13" s="11" t="s">
        <v>35</v>
      </c>
      <c r="B13" s="12" t="s">
        <v>20</v>
      </c>
      <c r="C13" s="13">
        <v>944.0</v>
      </c>
      <c r="D13" s="11" t="s">
        <v>21</v>
      </c>
      <c r="E13" s="14">
        <v>45750.0</v>
      </c>
      <c r="F13" s="15" t="str">
        <f t="shared" si="1"/>
        <v>Звичайний</v>
      </c>
      <c r="J13" s="18" t="str">
        <f>IFERROR(__xludf.DUMMYFUNCTION("""COMPUTED_VALUE"""),"Юрій")</f>
        <v>Юрій</v>
      </c>
      <c r="K13" s="15" t="str">
        <f>IFERROR(__xludf.DUMMYFUNCTION("""COMPUTED_VALUE"""),"B")</f>
        <v>B</v>
      </c>
      <c r="L13" s="19">
        <f>IFERROR(__xludf.DUMMYFUNCTION("""COMPUTED_VALUE"""),1668.0)</f>
        <v>1668</v>
      </c>
      <c r="M13" s="15" t="str">
        <f>IFERROR(__xludf.DUMMYFUNCTION("""COMPUTED_VALUE"""),"Одеса")</f>
        <v>Одеса</v>
      </c>
      <c r="N13" s="20">
        <f>IFERROR(__xludf.DUMMYFUNCTION("""COMPUTED_VALUE"""),45772.0)</f>
        <v>45772</v>
      </c>
      <c r="O13" s="18" t="s">
        <v>12</v>
      </c>
      <c r="P13" s="15" t="s">
        <v>13</v>
      </c>
      <c r="Q13" s="19">
        <v>1676.0</v>
      </c>
      <c r="R13" s="15" t="s">
        <v>21</v>
      </c>
      <c r="S13" s="20">
        <v>45775.0</v>
      </c>
    </row>
    <row r="14">
      <c r="A14" s="11" t="s">
        <v>36</v>
      </c>
      <c r="B14" s="12" t="s">
        <v>20</v>
      </c>
      <c r="C14" s="13">
        <v>301.0</v>
      </c>
      <c r="D14" s="11" t="s">
        <v>17</v>
      </c>
      <c r="E14" s="14">
        <v>45755.0</v>
      </c>
      <c r="F14" s="15" t="str">
        <f t="shared" si="1"/>
        <v>Звичайний</v>
      </c>
      <c r="J14" s="18" t="str">
        <f>IFERROR(__xludf.DUMMYFUNCTION("""COMPUTED_VALUE"""),"Світлана")</f>
        <v>Світлана</v>
      </c>
      <c r="K14" s="15" t="str">
        <f>IFERROR(__xludf.DUMMYFUNCTION("""COMPUTED_VALUE"""),"C")</f>
        <v>C</v>
      </c>
      <c r="L14" s="19">
        <f>IFERROR(__xludf.DUMMYFUNCTION("""COMPUTED_VALUE"""),1553.0)</f>
        <v>1553</v>
      </c>
      <c r="M14" s="15" t="str">
        <f>IFERROR(__xludf.DUMMYFUNCTION("""COMPUTED_VALUE"""),"Київ")</f>
        <v>Київ</v>
      </c>
      <c r="N14" s="20">
        <f>IFERROR(__xludf.DUMMYFUNCTION("""COMPUTED_VALUE"""),45753.0)</f>
        <v>45753</v>
      </c>
      <c r="O14" s="18" t="s">
        <v>37</v>
      </c>
      <c r="P14" s="15" t="s">
        <v>16</v>
      </c>
      <c r="Q14" s="19">
        <v>1668.0</v>
      </c>
      <c r="R14" s="15" t="s">
        <v>21</v>
      </c>
      <c r="S14" s="20">
        <v>45772.0</v>
      </c>
    </row>
    <row r="15">
      <c r="A15" s="11" t="s">
        <v>31</v>
      </c>
      <c r="B15" s="12" t="s">
        <v>16</v>
      </c>
      <c r="C15" s="13">
        <v>1701.0</v>
      </c>
      <c r="D15" s="11" t="s">
        <v>23</v>
      </c>
      <c r="E15" s="14">
        <v>45755.0</v>
      </c>
      <c r="F15" s="15" t="str">
        <f t="shared" si="1"/>
        <v>Преміум</v>
      </c>
      <c r="J15" s="18" t="str">
        <f>IFERROR(__xludf.DUMMYFUNCTION("""COMPUTED_VALUE"""),"Ігор")</f>
        <v>Ігор</v>
      </c>
      <c r="K15" s="15" t="str">
        <f>IFERROR(__xludf.DUMMYFUNCTION("""COMPUTED_VALUE"""),"A")</f>
        <v>A</v>
      </c>
      <c r="L15" s="19">
        <f>IFERROR(__xludf.DUMMYFUNCTION("""COMPUTED_VALUE"""),1028.0)</f>
        <v>1028</v>
      </c>
      <c r="M15" s="15" t="str">
        <f>IFERROR(__xludf.DUMMYFUNCTION("""COMPUTED_VALUE"""),"Харків")</f>
        <v>Харків</v>
      </c>
      <c r="N15" s="20">
        <f>IFERROR(__xludf.DUMMYFUNCTION("""COMPUTED_VALUE"""),45764.0)</f>
        <v>45764</v>
      </c>
      <c r="O15" s="18" t="s">
        <v>31</v>
      </c>
      <c r="P15" s="15" t="s">
        <v>20</v>
      </c>
      <c r="Q15" s="19">
        <v>1625.0</v>
      </c>
      <c r="R15" s="15" t="s">
        <v>21</v>
      </c>
      <c r="S15" s="20">
        <v>45765.0</v>
      </c>
    </row>
    <row r="16">
      <c r="A16" s="11" t="s">
        <v>25</v>
      </c>
      <c r="B16" s="12" t="s">
        <v>13</v>
      </c>
      <c r="C16" s="13">
        <v>1770.0</v>
      </c>
      <c r="D16" s="11" t="s">
        <v>17</v>
      </c>
      <c r="E16" s="14">
        <v>45755.0</v>
      </c>
      <c r="F16" s="15" t="str">
        <f t="shared" si="1"/>
        <v>Преміум</v>
      </c>
      <c r="J16" s="18" t="str">
        <f>IFERROR(__xludf.DUMMYFUNCTION("""COMPUTED_VALUE"""),"Назар")</f>
        <v>Назар</v>
      </c>
      <c r="K16" s="15" t="str">
        <f>IFERROR(__xludf.DUMMYFUNCTION("""COMPUTED_VALUE"""),"A")</f>
        <v>A</v>
      </c>
      <c r="L16" s="19">
        <f>IFERROR(__xludf.DUMMYFUNCTION("""COMPUTED_VALUE"""),1311.0)</f>
        <v>1311</v>
      </c>
      <c r="M16" s="15" t="str">
        <f>IFERROR(__xludf.DUMMYFUNCTION("""COMPUTED_VALUE"""),"Київ")</f>
        <v>Київ</v>
      </c>
      <c r="N16" s="20">
        <f>IFERROR(__xludf.DUMMYFUNCTION("""COMPUTED_VALUE"""),45772.0)</f>
        <v>45772</v>
      </c>
      <c r="O16" s="18" t="s">
        <v>22</v>
      </c>
      <c r="P16" s="15" t="s">
        <v>20</v>
      </c>
      <c r="Q16" s="19">
        <v>1606.0</v>
      </c>
      <c r="R16" s="15" t="s">
        <v>17</v>
      </c>
      <c r="S16" s="20">
        <v>45774.0</v>
      </c>
    </row>
    <row r="17">
      <c r="A17" s="11" t="s">
        <v>38</v>
      </c>
      <c r="B17" s="12" t="s">
        <v>13</v>
      </c>
      <c r="C17" s="13">
        <v>781.0</v>
      </c>
      <c r="D17" s="11" t="s">
        <v>17</v>
      </c>
      <c r="E17" s="14">
        <v>45772.0</v>
      </c>
      <c r="F17" s="15" t="str">
        <f t="shared" si="1"/>
        <v>Звичайний</v>
      </c>
      <c r="J17" s="18" t="str">
        <f>IFERROR(__xludf.DUMMYFUNCTION("""COMPUTED_VALUE"""),"Назар")</f>
        <v>Назар</v>
      </c>
      <c r="K17" s="15" t="str">
        <f>IFERROR(__xludf.DUMMYFUNCTION("""COMPUTED_VALUE"""),"C")</f>
        <v>C</v>
      </c>
      <c r="L17" s="19">
        <f>IFERROR(__xludf.DUMMYFUNCTION("""COMPUTED_VALUE"""),1763.0)</f>
        <v>1763</v>
      </c>
      <c r="M17" s="15" t="str">
        <f>IFERROR(__xludf.DUMMYFUNCTION("""COMPUTED_VALUE"""),"Одеса")</f>
        <v>Одеса</v>
      </c>
      <c r="N17" s="20">
        <f>IFERROR(__xludf.DUMMYFUNCTION("""COMPUTED_VALUE"""),45762.0)</f>
        <v>45762</v>
      </c>
      <c r="O17" s="18" t="s">
        <v>36</v>
      </c>
      <c r="P17" s="15" t="s">
        <v>16</v>
      </c>
      <c r="Q17" s="19">
        <v>1604.0</v>
      </c>
      <c r="R17" s="15" t="s">
        <v>21</v>
      </c>
      <c r="S17" s="20">
        <v>45762.0</v>
      </c>
    </row>
    <row r="18">
      <c r="A18" s="11" t="s">
        <v>39</v>
      </c>
      <c r="B18" s="12" t="s">
        <v>20</v>
      </c>
      <c r="C18" s="13">
        <v>708.0</v>
      </c>
      <c r="D18" s="11" t="s">
        <v>14</v>
      </c>
      <c r="E18" s="14">
        <v>45758.0</v>
      </c>
      <c r="F18" s="15" t="str">
        <f t="shared" si="1"/>
        <v>Звичайний</v>
      </c>
      <c r="J18" s="18" t="str">
        <f>IFERROR(__xludf.DUMMYFUNCTION("""COMPUTED_VALUE"""),"Юрій")</f>
        <v>Юрій</v>
      </c>
      <c r="K18" s="15" t="str">
        <f>IFERROR(__xludf.DUMMYFUNCTION("""COMPUTED_VALUE"""),"C")</f>
        <v>C</v>
      </c>
      <c r="L18" s="19">
        <f>IFERROR(__xludf.DUMMYFUNCTION("""COMPUTED_VALUE"""),1585.0)</f>
        <v>1585</v>
      </c>
      <c r="M18" s="15" t="str">
        <f>IFERROR(__xludf.DUMMYFUNCTION("""COMPUTED_VALUE"""),"Одеса")</f>
        <v>Одеса</v>
      </c>
      <c r="N18" s="20">
        <f>IFERROR(__xludf.DUMMYFUNCTION("""COMPUTED_VALUE"""),45773.0)</f>
        <v>45773</v>
      </c>
      <c r="O18" s="18" t="s">
        <v>25</v>
      </c>
      <c r="P18" s="15" t="s">
        <v>13</v>
      </c>
      <c r="Q18" s="19">
        <v>1588.0</v>
      </c>
      <c r="R18" s="15" t="s">
        <v>21</v>
      </c>
      <c r="S18" s="20">
        <v>45759.0</v>
      </c>
    </row>
    <row r="19">
      <c r="A19" s="11" t="s">
        <v>40</v>
      </c>
      <c r="B19" s="12" t="s">
        <v>13</v>
      </c>
      <c r="C19" s="13">
        <v>1361.0</v>
      </c>
      <c r="D19" s="11" t="s">
        <v>17</v>
      </c>
      <c r="E19" s="14">
        <v>45760.0</v>
      </c>
      <c r="F19" s="15" t="str">
        <f t="shared" si="1"/>
        <v>Преміум</v>
      </c>
      <c r="J19" s="18" t="str">
        <f>IFERROR(__xludf.DUMMYFUNCTION("""COMPUTED_VALUE"""),"Лідія")</f>
        <v>Лідія</v>
      </c>
      <c r="K19" s="15" t="str">
        <f>IFERROR(__xludf.DUMMYFUNCTION("""COMPUTED_VALUE"""),"A")</f>
        <v>A</v>
      </c>
      <c r="L19" s="19">
        <f>IFERROR(__xludf.DUMMYFUNCTION("""COMPUTED_VALUE"""),1001.0)</f>
        <v>1001</v>
      </c>
      <c r="M19" s="15" t="str">
        <f>IFERROR(__xludf.DUMMYFUNCTION("""COMPUTED_VALUE"""),"Львів")</f>
        <v>Львів</v>
      </c>
      <c r="N19" s="20">
        <f>IFERROR(__xludf.DUMMYFUNCTION("""COMPUTED_VALUE"""),45761.0)</f>
        <v>45761</v>
      </c>
      <c r="O19" s="18" t="s">
        <v>37</v>
      </c>
      <c r="P19" s="15" t="s">
        <v>20</v>
      </c>
      <c r="Q19" s="19">
        <v>1585.0</v>
      </c>
      <c r="R19" s="15" t="s">
        <v>21</v>
      </c>
      <c r="S19" s="20">
        <v>45773.0</v>
      </c>
    </row>
    <row r="20">
      <c r="A20" s="11" t="s">
        <v>41</v>
      </c>
      <c r="B20" s="12" t="s">
        <v>16</v>
      </c>
      <c r="C20" s="13">
        <v>779.0</v>
      </c>
      <c r="D20" s="11" t="s">
        <v>14</v>
      </c>
      <c r="E20" s="14">
        <v>45771.0</v>
      </c>
      <c r="F20" s="15" t="str">
        <f t="shared" si="1"/>
        <v>Звичайний</v>
      </c>
      <c r="J20" s="18" t="str">
        <f>IFERROR(__xludf.DUMMYFUNCTION("""COMPUTED_VALUE"""),"Сергій")</f>
        <v>Сергій</v>
      </c>
      <c r="K20" s="15" t="str">
        <f>IFERROR(__xludf.DUMMYFUNCTION("""COMPUTED_VALUE"""),"B")</f>
        <v>B</v>
      </c>
      <c r="L20" s="19">
        <f>IFERROR(__xludf.DUMMYFUNCTION("""COMPUTED_VALUE"""),1378.0)</f>
        <v>1378</v>
      </c>
      <c r="M20" s="15" t="str">
        <f>IFERROR(__xludf.DUMMYFUNCTION("""COMPUTED_VALUE"""),"Харків")</f>
        <v>Харків</v>
      </c>
      <c r="N20" s="20">
        <f>IFERROR(__xludf.DUMMYFUNCTION("""COMPUTED_VALUE"""),45758.0)</f>
        <v>45758</v>
      </c>
      <c r="O20" s="18" t="s">
        <v>15</v>
      </c>
      <c r="P20" s="15" t="s">
        <v>20</v>
      </c>
      <c r="Q20" s="19">
        <v>1553.0</v>
      </c>
      <c r="R20" s="15" t="s">
        <v>14</v>
      </c>
      <c r="S20" s="20">
        <v>45753.0</v>
      </c>
    </row>
    <row r="21">
      <c r="A21" s="11" t="s">
        <v>42</v>
      </c>
      <c r="B21" s="12" t="s">
        <v>20</v>
      </c>
      <c r="C21" s="13">
        <v>1512.0</v>
      </c>
      <c r="D21" s="11" t="s">
        <v>17</v>
      </c>
      <c r="E21" s="14">
        <v>45761.0</v>
      </c>
      <c r="F21" s="15" t="str">
        <f t="shared" si="1"/>
        <v>Преміум</v>
      </c>
      <c r="J21" s="18" t="str">
        <f>IFERROR(__xludf.DUMMYFUNCTION("""COMPUTED_VALUE"""),"Андрій")</f>
        <v>Андрій</v>
      </c>
      <c r="K21" s="15" t="str">
        <f>IFERROR(__xludf.DUMMYFUNCTION("""COMPUTED_VALUE"""),"C")</f>
        <v>C</v>
      </c>
      <c r="L21" s="19">
        <f>IFERROR(__xludf.DUMMYFUNCTION("""COMPUTED_VALUE"""),1606.0)</f>
        <v>1606</v>
      </c>
      <c r="M21" s="15" t="str">
        <f>IFERROR(__xludf.DUMMYFUNCTION("""COMPUTED_VALUE"""),"Харків")</f>
        <v>Харків</v>
      </c>
      <c r="N21" s="20">
        <f>IFERROR(__xludf.DUMMYFUNCTION("""COMPUTED_VALUE"""),45774.0)</f>
        <v>45774</v>
      </c>
      <c r="O21" s="18" t="s">
        <v>18</v>
      </c>
      <c r="P21" s="15" t="s">
        <v>20</v>
      </c>
      <c r="Q21" s="19">
        <v>1529.0</v>
      </c>
      <c r="R21" s="15" t="s">
        <v>21</v>
      </c>
      <c r="S21" s="20">
        <v>45768.0</v>
      </c>
    </row>
    <row r="22">
      <c r="A22" s="11" t="s">
        <v>43</v>
      </c>
      <c r="B22" s="12" t="s">
        <v>16</v>
      </c>
      <c r="C22" s="13">
        <v>809.0</v>
      </c>
      <c r="D22" s="11" t="s">
        <v>23</v>
      </c>
      <c r="E22" s="14">
        <v>45770.0</v>
      </c>
      <c r="F22" s="15" t="str">
        <f t="shared" si="1"/>
        <v>Звичайний</v>
      </c>
      <c r="J22" s="18" t="str">
        <f>IFERROR(__xludf.DUMMYFUNCTION("""COMPUTED_VALUE"""),"Ігор")</f>
        <v>Ігор</v>
      </c>
      <c r="K22" s="15" t="str">
        <f>IFERROR(__xludf.DUMMYFUNCTION("""COMPUTED_VALUE"""),"A")</f>
        <v>A</v>
      </c>
      <c r="L22" s="19">
        <f>IFERROR(__xludf.DUMMYFUNCTION("""COMPUTED_VALUE"""),1158.0)</f>
        <v>1158</v>
      </c>
      <c r="M22" s="15" t="str">
        <f>IFERROR(__xludf.DUMMYFUNCTION("""COMPUTED_VALUE"""),"Харків")</f>
        <v>Харків</v>
      </c>
      <c r="N22" s="20">
        <f>IFERROR(__xludf.DUMMYFUNCTION("""COMPUTED_VALUE"""),45750.0)</f>
        <v>45750</v>
      </c>
      <c r="O22" s="18" t="s">
        <v>29</v>
      </c>
      <c r="P22" s="15" t="s">
        <v>16</v>
      </c>
      <c r="Q22" s="19">
        <v>1520.0</v>
      </c>
      <c r="R22" s="15" t="s">
        <v>21</v>
      </c>
      <c r="S22" s="20">
        <v>45753.0</v>
      </c>
    </row>
    <row r="23">
      <c r="A23" s="11" t="s">
        <v>31</v>
      </c>
      <c r="B23" s="12" t="s">
        <v>13</v>
      </c>
      <c r="C23" s="13">
        <v>438.0</v>
      </c>
      <c r="D23" s="11" t="s">
        <v>21</v>
      </c>
      <c r="E23" s="14">
        <v>45771.0</v>
      </c>
      <c r="F23" s="15" t="str">
        <f t="shared" si="1"/>
        <v>Звичайний</v>
      </c>
      <c r="J23" s="18" t="str">
        <f>IFERROR(__xludf.DUMMYFUNCTION("""COMPUTED_VALUE"""),"Дмитро")</f>
        <v>Дмитро</v>
      </c>
      <c r="K23" s="15" t="str">
        <f>IFERROR(__xludf.DUMMYFUNCTION("""COMPUTED_VALUE"""),"A")</f>
        <v>A</v>
      </c>
      <c r="L23" s="19">
        <f>IFERROR(__xludf.DUMMYFUNCTION("""COMPUTED_VALUE"""),1230.0)</f>
        <v>1230</v>
      </c>
      <c r="M23" s="15" t="str">
        <f>IFERROR(__xludf.DUMMYFUNCTION("""COMPUTED_VALUE"""),"Київ")</f>
        <v>Київ</v>
      </c>
      <c r="N23" s="20">
        <f>IFERROR(__xludf.DUMMYFUNCTION("""COMPUTED_VALUE"""),45752.0)</f>
        <v>45752</v>
      </c>
      <c r="O23" s="18" t="s">
        <v>42</v>
      </c>
      <c r="P23" s="15" t="s">
        <v>20</v>
      </c>
      <c r="Q23" s="19">
        <v>1512.0</v>
      </c>
      <c r="R23" s="15" t="s">
        <v>17</v>
      </c>
      <c r="S23" s="20">
        <v>45761.0</v>
      </c>
    </row>
    <row r="24">
      <c r="A24" s="11" t="s">
        <v>18</v>
      </c>
      <c r="B24" s="12" t="s">
        <v>20</v>
      </c>
      <c r="C24" s="13">
        <v>1529.0</v>
      </c>
      <c r="D24" s="11" t="s">
        <v>21</v>
      </c>
      <c r="E24" s="14">
        <v>45768.0</v>
      </c>
      <c r="F24" s="15" t="str">
        <f t="shared" si="1"/>
        <v>Преміум</v>
      </c>
      <c r="J24" s="18" t="str">
        <f>IFERROR(__xludf.DUMMYFUNCTION("""COMPUTED_VALUE"""),"Ніна")</f>
        <v>Ніна</v>
      </c>
      <c r="K24" s="15" t="str">
        <f>IFERROR(__xludf.DUMMYFUNCTION("""COMPUTED_VALUE"""),"A")</f>
        <v>A</v>
      </c>
      <c r="L24" s="19">
        <f>IFERROR(__xludf.DUMMYFUNCTION("""COMPUTED_VALUE"""),1156.0)</f>
        <v>1156</v>
      </c>
      <c r="M24" s="15" t="str">
        <f>IFERROR(__xludf.DUMMYFUNCTION("""COMPUTED_VALUE"""),"Львів")</f>
        <v>Львів</v>
      </c>
      <c r="N24" s="20">
        <f>IFERROR(__xludf.DUMMYFUNCTION("""COMPUTED_VALUE"""),45757.0)</f>
        <v>45757</v>
      </c>
      <c r="O24" s="18" t="s">
        <v>44</v>
      </c>
      <c r="P24" s="15" t="s">
        <v>16</v>
      </c>
      <c r="Q24" s="19">
        <v>1507.0</v>
      </c>
      <c r="R24" s="15" t="s">
        <v>14</v>
      </c>
      <c r="S24" s="20">
        <v>45767.0</v>
      </c>
    </row>
    <row r="25">
      <c r="A25" s="11" t="s">
        <v>24</v>
      </c>
      <c r="B25" s="12" t="s">
        <v>20</v>
      </c>
      <c r="C25" s="13">
        <v>362.0</v>
      </c>
      <c r="D25" s="11" t="s">
        <v>21</v>
      </c>
      <c r="E25" s="14">
        <v>45758.0</v>
      </c>
      <c r="F25" s="15" t="str">
        <f t="shared" si="1"/>
        <v>Звичайний</v>
      </c>
      <c r="J25" s="18" t="str">
        <f>IFERROR(__xludf.DUMMYFUNCTION("""COMPUTED_VALUE"""),"Ганна")</f>
        <v>Ганна</v>
      </c>
      <c r="K25" s="15" t="str">
        <f>IFERROR(__xludf.DUMMYFUNCTION("""COMPUTED_VALUE"""),"B")</f>
        <v>B</v>
      </c>
      <c r="L25" s="19">
        <f>IFERROR(__xludf.DUMMYFUNCTION("""COMPUTED_VALUE"""),1507.0)</f>
        <v>1507</v>
      </c>
      <c r="M25" s="15" t="str">
        <f>IFERROR(__xludf.DUMMYFUNCTION("""COMPUTED_VALUE"""),"Київ")</f>
        <v>Київ</v>
      </c>
      <c r="N25" s="20">
        <f>IFERROR(__xludf.DUMMYFUNCTION("""COMPUTED_VALUE"""),45767.0)</f>
        <v>45767</v>
      </c>
      <c r="O25" s="18" t="s">
        <v>38</v>
      </c>
      <c r="P25" s="15" t="s">
        <v>20</v>
      </c>
      <c r="Q25" s="19">
        <v>1480.0</v>
      </c>
      <c r="R25" s="15" t="s">
        <v>14</v>
      </c>
      <c r="S25" s="20">
        <v>45748.0</v>
      </c>
    </row>
    <row r="26">
      <c r="A26" s="11" t="s">
        <v>22</v>
      </c>
      <c r="B26" s="12" t="s">
        <v>13</v>
      </c>
      <c r="C26" s="13">
        <v>433.0</v>
      </c>
      <c r="D26" s="11" t="s">
        <v>14</v>
      </c>
      <c r="E26" s="14">
        <v>45753.0</v>
      </c>
      <c r="F26" s="15" t="str">
        <f t="shared" si="1"/>
        <v>Звичайний</v>
      </c>
      <c r="J26" s="18" t="str">
        <f>IFERROR(__xludf.DUMMYFUNCTION("""COMPUTED_VALUE"""),"Лідія")</f>
        <v>Лідія</v>
      </c>
      <c r="K26" s="15" t="str">
        <f>IFERROR(__xludf.DUMMYFUNCTION("""COMPUTED_VALUE"""),"A")</f>
        <v>A</v>
      </c>
      <c r="L26" s="19">
        <f>IFERROR(__xludf.DUMMYFUNCTION("""COMPUTED_VALUE"""),1449.0)</f>
        <v>1449</v>
      </c>
      <c r="M26" s="15" t="str">
        <f>IFERROR(__xludf.DUMMYFUNCTION("""COMPUTED_VALUE"""),"Київ")</f>
        <v>Київ</v>
      </c>
      <c r="N26" s="20">
        <f>IFERROR(__xludf.DUMMYFUNCTION("""COMPUTED_VALUE"""),45773.0)</f>
        <v>45773</v>
      </c>
      <c r="O26" s="18" t="s">
        <v>45</v>
      </c>
      <c r="P26" s="15" t="s">
        <v>13</v>
      </c>
      <c r="Q26" s="19">
        <v>1449.0</v>
      </c>
      <c r="R26" s="15" t="s">
        <v>14</v>
      </c>
      <c r="S26" s="20">
        <v>45773.0</v>
      </c>
    </row>
    <row r="27">
      <c r="A27" s="11" t="s">
        <v>46</v>
      </c>
      <c r="B27" s="12" t="s">
        <v>16</v>
      </c>
      <c r="C27" s="13">
        <v>709.0</v>
      </c>
      <c r="D27" s="11" t="s">
        <v>21</v>
      </c>
      <c r="E27" s="14">
        <v>45752.0</v>
      </c>
      <c r="F27" s="15" t="str">
        <f t="shared" si="1"/>
        <v>Звичайний</v>
      </c>
      <c r="J27" s="18" t="str">
        <f>IFERROR(__xludf.DUMMYFUNCTION("""COMPUTED_VALUE"""),"Алла")</f>
        <v>Алла</v>
      </c>
      <c r="K27" s="15" t="str">
        <f>IFERROR(__xludf.DUMMYFUNCTION("""COMPUTED_VALUE"""),"A")</f>
        <v>A</v>
      </c>
      <c r="L27" s="19">
        <f>IFERROR(__xludf.DUMMYFUNCTION("""COMPUTED_VALUE"""),1289.0)</f>
        <v>1289</v>
      </c>
      <c r="M27" s="15" t="str">
        <f>IFERROR(__xludf.DUMMYFUNCTION("""COMPUTED_VALUE"""),"Київ")</f>
        <v>Київ</v>
      </c>
      <c r="N27" s="20">
        <f>IFERROR(__xludf.DUMMYFUNCTION("""COMPUTED_VALUE"""),45771.0)</f>
        <v>45771</v>
      </c>
      <c r="O27" s="18" t="s">
        <v>47</v>
      </c>
      <c r="P27" s="15" t="s">
        <v>20</v>
      </c>
      <c r="Q27" s="19">
        <v>1393.0</v>
      </c>
      <c r="R27" s="15" t="s">
        <v>23</v>
      </c>
      <c r="S27" s="20">
        <v>45752.0</v>
      </c>
    </row>
    <row r="28">
      <c r="A28" s="11" t="s">
        <v>48</v>
      </c>
      <c r="B28" s="12" t="s">
        <v>13</v>
      </c>
      <c r="C28" s="13">
        <v>1155.0</v>
      </c>
      <c r="D28" s="11" t="s">
        <v>21</v>
      </c>
      <c r="E28" s="14">
        <v>45773.0</v>
      </c>
      <c r="F28" s="15" t="str">
        <f t="shared" si="1"/>
        <v>Преміум</v>
      </c>
      <c r="J28" s="18" t="str">
        <f>IFERROR(__xludf.DUMMYFUNCTION("""COMPUTED_VALUE"""),"Наталія")</f>
        <v>Наталія</v>
      </c>
      <c r="K28" s="15" t="str">
        <f>IFERROR(__xludf.DUMMYFUNCTION("""COMPUTED_VALUE"""),"B")</f>
        <v>B</v>
      </c>
      <c r="L28" s="19">
        <f>IFERROR(__xludf.DUMMYFUNCTION("""COMPUTED_VALUE"""),1680.0)</f>
        <v>1680</v>
      </c>
      <c r="M28" s="15" t="str">
        <f>IFERROR(__xludf.DUMMYFUNCTION("""COMPUTED_VALUE"""),"Львів")</f>
        <v>Львів</v>
      </c>
      <c r="N28" s="20">
        <f>IFERROR(__xludf.DUMMYFUNCTION("""COMPUTED_VALUE"""),45759.0)</f>
        <v>45759</v>
      </c>
      <c r="O28" s="18" t="s">
        <v>49</v>
      </c>
      <c r="P28" s="15" t="s">
        <v>16</v>
      </c>
      <c r="Q28" s="19">
        <v>1378.0</v>
      </c>
      <c r="R28" s="15" t="s">
        <v>17</v>
      </c>
      <c r="S28" s="20">
        <v>45758.0</v>
      </c>
    </row>
    <row r="29">
      <c r="A29" s="11" t="s">
        <v>41</v>
      </c>
      <c r="B29" s="12" t="s">
        <v>16</v>
      </c>
      <c r="C29" s="13">
        <v>838.0</v>
      </c>
      <c r="D29" s="11" t="s">
        <v>17</v>
      </c>
      <c r="E29" s="14">
        <v>45753.0</v>
      </c>
      <c r="F29" s="15" t="str">
        <f t="shared" si="1"/>
        <v>Звичайний</v>
      </c>
      <c r="J29" s="18" t="str">
        <f>IFERROR(__xludf.DUMMYFUNCTION("""COMPUTED_VALUE"""),"Артур")</f>
        <v>Артур</v>
      </c>
      <c r="K29" s="15" t="str">
        <f>IFERROR(__xludf.DUMMYFUNCTION("""COMPUTED_VALUE"""),"A")</f>
        <v>A</v>
      </c>
      <c r="L29" s="19">
        <f>IFERROR(__xludf.DUMMYFUNCTION("""COMPUTED_VALUE"""),1763.0)</f>
        <v>1763</v>
      </c>
      <c r="M29" s="15" t="str">
        <f>IFERROR(__xludf.DUMMYFUNCTION("""COMPUTED_VALUE"""),"Львів")</f>
        <v>Львів</v>
      </c>
      <c r="N29" s="20">
        <f>IFERROR(__xludf.DUMMYFUNCTION("""COMPUTED_VALUE"""),45768.0)</f>
        <v>45768</v>
      </c>
      <c r="O29" s="18" t="s">
        <v>35</v>
      </c>
      <c r="P29" s="15" t="s">
        <v>16</v>
      </c>
      <c r="Q29" s="19">
        <v>1365.0</v>
      </c>
      <c r="R29" s="15" t="s">
        <v>14</v>
      </c>
      <c r="S29" s="20">
        <v>45748.0</v>
      </c>
    </row>
    <row r="30">
      <c r="A30" s="11" t="s">
        <v>50</v>
      </c>
      <c r="B30" s="12" t="s">
        <v>20</v>
      </c>
      <c r="C30" s="13">
        <v>947.0</v>
      </c>
      <c r="D30" s="11" t="s">
        <v>14</v>
      </c>
      <c r="E30" s="14">
        <v>45774.0</v>
      </c>
      <c r="F30" s="15" t="str">
        <f t="shared" si="1"/>
        <v>Звичайний</v>
      </c>
      <c r="J30" s="18" t="str">
        <f>IFERROR(__xludf.DUMMYFUNCTION("""COMPUTED_VALUE"""),"Богдан")</f>
        <v>Богдан</v>
      </c>
      <c r="K30" s="15" t="str">
        <f>IFERROR(__xludf.DUMMYFUNCTION("""COMPUTED_VALUE"""),"B")</f>
        <v>B</v>
      </c>
      <c r="L30" s="19">
        <f>IFERROR(__xludf.DUMMYFUNCTION("""COMPUTED_VALUE"""),1066.0)</f>
        <v>1066</v>
      </c>
      <c r="M30" s="15" t="str">
        <f>IFERROR(__xludf.DUMMYFUNCTION("""COMPUTED_VALUE"""),"Київ")</f>
        <v>Київ</v>
      </c>
      <c r="N30" s="20">
        <f>IFERROR(__xludf.DUMMYFUNCTION("""COMPUTED_VALUE"""),45772.0)</f>
        <v>45772</v>
      </c>
      <c r="O30" s="18" t="s">
        <v>40</v>
      </c>
      <c r="P30" s="15" t="s">
        <v>13</v>
      </c>
      <c r="Q30" s="19">
        <v>1361.0</v>
      </c>
      <c r="R30" s="15" t="s">
        <v>17</v>
      </c>
      <c r="S30" s="20">
        <v>45760.0</v>
      </c>
    </row>
    <row r="31">
      <c r="A31" s="11" t="s">
        <v>37</v>
      </c>
      <c r="B31" s="12" t="s">
        <v>16</v>
      </c>
      <c r="C31" s="13">
        <v>1668.0</v>
      </c>
      <c r="D31" s="11" t="s">
        <v>21</v>
      </c>
      <c r="E31" s="14">
        <v>45772.0</v>
      </c>
      <c r="F31" s="15" t="str">
        <f t="shared" si="1"/>
        <v>Преміум</v>
      </c>
      <c r="J31" s="18" t="str">
        <f>IFERROR(__xludf.DUMMYFUNCTION("""COMPUTED_VALUE"""),"Григорій")</f>
        <v>Григорій</v>
      </c>
      <c r="K31" s="15" t="str">
        <f>IFERROR(__xludf.DUMMYFUNCTION("""COMPUTED_VALUE"""),"A")</f>
        <v>A</v>
      </c>
      <c r="L31" s="19">
        <f>IFERROR(__xludf.DUMMYFUNCTION("""COMPUTED_VALUE"""),1588.0)</f>
        <v>1588</v>
      </c>
      <c r="M31" s="15" t="str">
        <f>IFERROR(__xludf.DUMMYFUNCTION("""COMPUTED_VALUE"""),"Одеса")</f>
        <v>Одеса</v>
      </c>
      <c r="N31" s="20">
        <f>IFERROR(__xludf.DUMMYFUNCTION("""COMPUTED_VALUE"""),45759.0)</f>
        <v>45759</v>
      </c>
      <c r="O31" s="18" t="s">
        <v>51</v>
      </c>
      <c r="P31" s="15" t="s">
        <v>16</v>
      </c>
      <c r="Q31" s="19">
        <v>1335.0</v>
      </c>
      <c r="R31" s="15" t="s">
        <v>14</v>
      </c>
      <c r="S31" s="20">
        <v>45778.0</v>
      </c>
    </row>
    <row r="32">
      <c r="A32" s="11" t="s">
        <v>25</v>
      </c>
      <c r="B32" s="12" t="s">
        <v>16</v>
      </c>
      <c r="C32" s="13">
        <v>919.0</v>
      </c>
      <c r="D32" s="11" t="s">
        <v>17</v>
      </c>
      <c r="E32" s="14">
        <v>45763.0</v>
      </c>
      <c r="F32" s="15" t="str">
        <f t="shared" si="1"/>
        <v>Звичайний</v>
      </c>
      <c r="J32" s="18" t="str">
        <f>IFERROR(__xludf.DUMMYFUNCTION("""COMPUTED_VALUE"""),"Лідія")</f>
        <v>Лідія</v>
      </c>
      <c r="K32" s="15" t="str">
        <f>IFERROR(__xludf.DUMMYFUNCTION("""COMPUTED_VALUE"""),"C")</f>
        <v>C</v>
      </c>
      <c r="L32" s="19">
        <f>IFERROR(__xludf.DUMMYFUNCTION("""COMPUTED_VALUE"""),1191.0)</f>
        <v>1191</v>
      </c>
      <c r="M32" s="15" t="str">
        <f>IFERROR(__xludf.DUMMYFUNCTION("""COMPUTED_VALUE"""),"Одеса")</f>
        <v>Одеса</v>
      </c>
      <c r="N32" s="20">
        <f>IFERROR(__xludf.DUMMYFUNCTION("""COMPUTED_VALUE"""),45766.0)</f>
        <v>45766</v>
      </c>
      <c r="O32" s="18" t="s">
        <v>52</v>
      </c>
      <c r="P32" s="15" t="s">
        <v>13</v>
      </c>
      <c r="Q32" s="19">
        <v>1325.0</v>
      </c>
      <c r="R32" s="15" t="s">
        <v>23</v>
      </c>
      <c r="S32" s="20">
        <v>45761.0</v>
      </c>
    </row>
    <row r="33">
      <c r="A33" s="11" t="s">
        <v>15</v>
      </c>
      <c r="B33" s="12" t="s">
        <v>20</v>
      </c>
      <c r="C33" s="13">
        <v>1553.0</v>
      </c>
      <c r="D33" s="11" t="s">
        <v>14</v>
      </c>
      <c r="E33" s="14">
        <v>45753.0</v>
      </c>
      <c r="F33" s="15" t="str">
        <f t="shared" si="1"/>
        <v>Преміум</v>
      </c>
      <c r="J33" s="18" t="str">
        <f>IFERROR(__xludf.DUMMYFUNCTION("""COMPUTED_VALUE"""),"Іван")</f>
        <v>Іван</v>
      </c>
      <c r="K33" s="15" t="str">
        <f>IFERROR(__xludf.DUMMYFUNCTION("""COMPUTED_VALUE"""),"B")</f>
        <v>B</v>
      </c>
      <c r="L33" s="19">
        <f>IFERROR(__xludf.DUMMYFUNCTION("""COMPUTED_VALUE"""),1604.0)</f>
        <v>1604</v>
      </c>
      <c r="M33" s="15" t="str">
        <f>IFERROR(__xludf.DUMMYFUNCTION("""COMPUTED_VALUE"""),"Одеса")</f>
        <v>Одеса</v>
      </c>
      <c r="N33" s="20">
        <f>IFERROR(__xludf.DUMMYFUNCTION("""COMPUTED_VALUE"""),45762.0)</f>
        <v>45762</v>
      </c>
      <c r="O33" s="18" t="s">
        <v>27</v>
      </c>
      <c r="P33" s="15" t="s">
        <v>13</v>
      </c>
      <c r="Q33" s="19">
        <v>1311.0</v>
      </c>
      <c r="R33" s="15" t="s">
        <v>14</v>
      </c>
      <c r="S33" s="20">
        <v>45772.0</v>
      </c>
    </row>
    <row r="34">
      <c r="A34" s="11" t="s">
        <v>53</v>
      </c>
      <c r="B34" s="12" t="s">
        <v>16</v>
      </c>
      <c r="C34" s="13">
        <v>450.0</v>
      </c>
      <c r="D34" s="11" t="s">
        <v>23</v>
      </c>
      <c r="E34" s="14">
        <v>45774.0</v>
      </c>
      <c r="F34" s="15" t="str">
        <f t="shared" si="1"/>
        <v>Звичайний</v>
      </c>
      <c r="J34" s="18" t="str">
        <f>IFERROR(__xludf.DUMMYFUNCTION("""COMPUTED_VALUE"""),"Тарас")</f>
        <v>Тарас</v>
      </c>
      <c r="K34" s="15" t="str">
        <f>IFERROR(__xludf.DUMMYFUNCTION("""COMPUTED_VALUE"""),"A")</f>
        <v>A</v>
      </c>
      <c r="L34" s="19">
        <f>IFERROR(__xludf.DUMMYFUNCTION("""COMPUTED_VALUE"""),1041.0)</f>
        <v>1041</v>
      </c>
      <c r="M34" s="15" t="str">
        <f>IFERROR(__xludf.DUMMYFUNCTION("""COMPUTED_VALUE"""),"Київ")</f>
        <v>Київ</v>
      </c>
      <c r="N34" s="20">
        <f>IFERROR(__xludf.DUMMYFUNCTION("""COMPUTED_VALUE"""),45749.0)</f>
        <v>45749</v>
      </c>
      <c r="O34" s="18" t="s">
        <v>43</v>
      </c>
      <c r="P34" s="15" t="s">
        <v>13</v>
      </c>
      <c r="Q34" s="19">
        <v>1289.0</v>
      </c>
      <c r="R34" s="15" t="s">
        <v>14</v>
      </c>
      <c r="S34" s="20">
        <v>45771.0</v>
      </c>
    </row>
    <row r="35">
      <c r="A35" s="11" t="s">
        <v>32</v>
      </c>
      <c r="B35" s="12" t="s">
        <v>13</v>
      </c>
      <c r="C35" s="13">
        <v>1028.0</v>
      </c>
      <c r="D35" s="11" t="s">
        <v>17</v>
      </c>
      <c r="E35" s="14">
        <v>45764.0</v>
      </c>
      <c r="F35" s="15" t="str">
        <f t="shared" si="1"/>
        <v>Преміум</v>
      </c>
      <c r="J35" s="18" t="str">
        <f>IFERROR(__xludf.DUMMYFUNCTION("""COMPUTED_VALUE"""),"Віктор")</f>
        <v>Віктор</v>
      </c>
      <c r="K35" s="15" t="str">
        <f>IFERROR(__xludf.DUMMYFUNCTION("""COMPUTED_VALUE"""),"B")</f>
        <v>B</v>
      </c>
      <c r="L35" s="19">
        <f>IFERROR(__xludf.DUMMYFUNCTION("""COMPUTED_VALUE"""),1025.0)</f>
        <v>1025</v>
      </c>
      <c r="M35" s="15" t="str">
        <f>IFERROR(__xludf.DUMMYFUNCTION("""COMPUTED_VALUE"""),"Одеса")</f>
        <v>Одеса</v>
      </c>
      <c r="N35" s="20">
        <f>IFERROR(__xludf.DUMMYFUNCTION("""COMPUTED_VALUE"""),45771.0)</f>
        <v>45771</v>
      </c>
      <c r="O35" s="18" t="s">
        <v>18</v>
      </c>
      <c r="P35" s="15" t="s">
        <v>16</v>
      </c>
      <c r="Q35" s="19">
        <v>1278.0</v>
      </c>
      <c r="R35" s="15" t="s">
        <v>17</v>
      </c>
      <c r="S35" s="20">
        <v>45775.0</v>
      </c>
    </row>
    <row r="36">
      <c r="A36" s="11" t="s">
        <v>33</v>
      </c>
      <c r="B36" s="12" t="s">
        <v>13</v>
      </c>
      <c r="C36" s="13">
        <v>778.0</v>
      </c>
      <c r="D36" s="11" t="s">
        <v>21</v>
      </c>
      <c r="E36" s="14">
        <v>45759.0</v>
      </c>
      <c r="F36" s="15" t="str">
        <f t="shared" si="1"/>
        <v>Звичайний</v>
      </c>
      <c r="J36" s="18" t="str">
        <f>IFERROR(__xludf.DUMMYFUNCTION("""COMPUTED_VALUE"""),"Максим")</f>
        <v>Максим</v>
      </c>
      <c r="K36" s="15" t="str">
        <f>IFERROR(__xludf.DUMMYFUNCTION("""COMPUTED_VALUE"""),"C")</f>
        <v>C</v>
      </c>
      <c r="L36" s="19">
        <f>IFERROR(__xludf.DUMMYFUNCTION("""COMPUTED_VALUE"""),1005.0)</f>
        <v>1005</v>
      </c>
      <c r="M36" s="15" t="str">
        <f>IFERROR(__xludf.DUMMYFUNCTION("""COMPUTED_VALUE"""),"Київ")</f>
        <v>Київ</v>
      </c>
      <c r="N36" s="20">
        <f>IFERROR(__xludf.DUMMYFUNCTION("""COMPUTED_VALUE"""),45775.0)</f>
        <v>45775</v>
      </c>
      <c r="O36" s="18" t="s">
        <v>24</v>
      </c>
      <c r="P36" s="15" t="s">
        <v>13</v>
      </c>
      <c r="Q36" s="19">
        <v>1230.0</v>
      </c>
      <c r="R36" s="15" t="s">
        <v>14</v>
      </c>
      <c r="S36" s="20">
        <v>45752.0</v>
      </c>
    </row>
    <row r="37">
      <c r="A37" s="11" t="s">
        <v>48</v>
      </c>
      <c r="B37" s="12" t="s">
        <v>13</v>
      </c>
      <c r="C37" s="13">
        <v>957.0</v>
      </c>
      <c r="D37" s="11" t="s">
        <v>21</v>
      </c>
      <c r="E37" s="14">
        <v>45772.0</v>
      </c>
      <c r="F37" s="15" t="str">
        <f t="shared" si="1"/>
        <v>Звичайний</v>
      </c>
      <c r="J37" s="18" t="str">
        <f>IFERROR(__xludf.DUMMYFUNCTION("""COMPUTED_VALUE"""),"Алла")</f>
        <v>Алла</v>
      </c>
      <c r="K37" s="15" t="str">
        <f>IFERROR(__xludf.DUMMYFUNCTION("""COMPUTED_VALUE"""),"C")</f>
        <v>C</v>
      </c>
      <c r="L37" s="19">
        <f>IFERROR(__xludf.DUMMYFUNCTION("""COMPUTED_VALUE"""),1197.0)</f>
        <v>1197</v>
      </c>
      <c r="M37" s="15" t="str">
        <f>IFERROR(__xludf.DUMMYFUNCTION("""COMPUTED_VALUE"""),"Київ")</f>
        <v>Київ</v>
      </c>
      <c r="N37" s="20">
        <f>IFERROR(__xludf.DUMMYFUNCTION("""COMPUTED_VALUE"""),45778.0)</f>
        <v>45778</v>
      </c>
      <c r="O37" s="18" t="s">
        <v>15</v>
      </c>
      <c r="P37" s="15" t="s">
        <v>16</v>
      </c>
      <c r="Q37" s="19">
        <v>1213.0</v>
      </c>
      <c r="R37" s="15" t="s">
        <v>17</v>
      </c>
      <c r="S37" s="20">
        <v>45749.0</v>
      </c>
    </row>
    <row r="38">
      <c r="A38" s="11" t="s">
        <v>27</v>
      </c>
      <c r="B38" s="12" t="s">
        <v>13</v>
      </c>
      <c r="C38" s="13">
        <v>1311.0</v>
      </c>
      <c r="D38" s="11" t="s">
        <v>14</v>
      </c>
      <c r="E38" s="14">
        <v>45772.0</v>
      </c>
      <c r="F38" s="15" t="str">
        <f t="shared" si="1"/>
        <v>Преміум</v>
      </c>
      <c r="J38" s="18" t="str">
        <f>IFERROR(__xludf.DUMMYFUNCTION("""COMPUTED_VALUE"""),"Богдан")</f>
        <v>Богдан</v>
      </c>
      <c r="K38" s="15" t="str">
        <f>IFERROR(__xludf.DUMMYFUNCTION("""COMPUTED_VALUE"""),"A")</f>
        <v>A</v>
      </c>
      <c r="L38" s="19">
        <f>IFERROR(__xludf.DUMMYFUNCTION("""COMPUTED_VALUE"""),1739.0)</f>
        <v>1739</v>
      </c>
      <c r="M38" s="15" t="str">
        <f>IFERROR(__xludf.DUMMYFUNCTION("""COMPUTED_VALUE"""),"Харків")</f>
        <v>Харків</v>
      </c>
      <c r="N38" s="20">
        <f>IFERROR(__xludf.DUMMYFUNCTION("""COMPUTED_VALUE"""),45752.0)</f>
        <v>45752</v>
      </c>
      <c r="O38" s="18" t="s">
        <v>43</v>
      </c>
      <c r="P38" s="15" t="s">
        <v>20</v>
      </c>
      <c r="Q38" s="19">
        <v>1197.0</v>
      </c>
      <c r="R38" s="15" t="s">
        <v>14</v>
      </c>
      <c r="S38" s="20">
        <v>45778.0</v>
      </c>
    </row>
    <row r="39">
      <c r="A39" s="11" t="s">
        <v>54</v>
      </c>
      <c r="B39" s="12" t="s">
        <v>20</v>
      </c>
      <c r="C39" s="13">
        <v>439.0</v>
      </c>
      <c r="D39" s="11" t="s">
        <v>14</v>
      </c>
      <c r="E39" s="14">
        <v>45776.0</v>
      </c>
      <c r="F39" s="15" t="str">
        <f t="shared" si="1"/>
        <v>Звичайний</v>
      </c>
      <c r="J39" s="18" t="str">
        <f>IFERROR(__xludf.DUMMYFUNCTION("""COMPUTED_VALUE"""),"Вероніка")</f>
        <v>Вероніка</v>
      </c>
      <c r="K39" s="15" t="str">
        <f>IFERROR(__xludf.DUMMYFUNCTION("""COMPUTED_VALUE"""),"A")</f>
        <v>A</v>
      </c>
      <c r="L39" s="19">
        <f>IFERROR(__xludf.DUMMYFUNCTION("""COMPUTED_VALUE"""),1793.0)</f>
        <v>1793</v>
      </c>
      <c r="M39" s="15" t="str">
        <f>IFERROR(__xludf.DUMMYFUNCTION("""COMPUTED_VALUE"""),"Київ")</f>
        <v>Київ</v>
      </c>
      <c r="N39" s="20">
        <f>IFERROR(__xludf.DUMMYFUNCTION("""COMPUTED_VALUE"""),45776.0)</f>
        <v>45776</v>
      </c>
      <c r="O39" s="18" t="s">
        <v>45</v>
      </c>
      <c r="P39" s="15" t="s">
        <v>20</v>
      </c>
      <c r="Q39" s="19">
        <v>1191.0</v>
      </c>
      <c r="R39" s="15" t="s">
        <v>21</v>
      </c>
      <c r="S39" s="20">
        <v>45766.0</v>
      </c>
    </row>
    <row r="40">
      <c r="A40" s="11" t="s">
        <v>27</v>
      </c>
      <c r="B40" s="12" t="s">
        <v>20</v>
      </c>
      <c r="C40" s="13">
        <v>1763.0</v>
      </c>
      <c r="D40" s="11" t="s">
        <v>21</v>
      </c>
      <c r="E40" s="14">
        <v>45762.0</v>
      </c>
      <c r="F40" s="15" t="str">
        <f t="shared" si="1"/>
        <v>Преміум</v>
      </c>
      <c r="J40" s="18" t="str">
        <f>IFERROR(__xludf.DUMMYFUNCTION("""COMPUTED_VALUE"""),"Тетяна")</f>
        <v>Тетяна</v>
      </c>
      <c r="K40" s="15" t="str">
        <f>IFERROR(__xludf.DUMMYFUNCTION("""COMPUTED_VALUE"""),"A")</f>
        <v>A</v>
      </c>
      <c r="L40" s="19">
        <f>IFERROR(__xludf.DUMMYFUNCTION("""COMPUTED_VALUE"""),1112.0)</f>
        <v>1112</v>
      </c>
      <c r="M40" s="15" t="str">
        <f>IFERROR(__xludf.DUMMYFUNCTION("""COMPUTED_VALUE"""),"Одеса")</f>
        <v>Одеса</v>
      </c>
      <c r="N40" s="20">
        <f>IFERROR(__xludf.DUMMYFUNCTION("""COMPUTED_VALUE"""),45748.0)</f>
        <v>45748</v>
      </c>
      <c r="O40" s="18" t="s">
        <v>32</v>
      </c>
      <c r="P40" s="15" t="s">
        <v>13</v>
      </c>
      <c r="Q40" s="19">
        <v>1158.0</v>
      </c>
      <c r="R40" s="15" t="s">
        <v>17</v>
      </c>
      <c r="S40" s="20">
        <v>45750.0</v>
      </c>
    </row>
    <row r="41">
      <c r="A41" s="11" t="s">
        <v>37</v>
      </c>
      <c r="B41" s="12" t="s">
        <v>20</v>
      </c>
      <c r="C41" s="13">
        <v>1585.0</v>
      </c>
      <c r="D41" s="11" t="s">
        <v>21</v>
      </c>
      <c r="E41" s="14">
        <v>45773.0</v>
      </c>
      <c r="F41" s="15" t="str">
        <f t="shared" si="1"/>
        <v>Преміум</v>
      </c>
      <c r="J41" s="18" t="str">
        <f>IFERROR(__xludf.DUMMYFUNCTION("""COMPUTED_VALUE"""),"Максим")</f>
        <v>Максим</v>
      </c>
      <c r="K41" s="15" t="str">
        <f>IFERROR(__xludf.DUMMYFUNCTION("""COMPUTED_VALUE"""),"C")</f>
        <v>C</v>
      </c>
      <c r="L41" s="19">
        <f>IFERROR(__xludf.DUMMYFUNCTION("""COMPUTED_VALUE"""),1393.0)</f>
        <v>1393</v>
      </c>
      <c r="M41" s="15" t="str">
        <f>IFERROR(__xludf.DUMMYFUNCTION("""COMPUTED_VALUE"""),"Львів")</f>
        <v>Львів</v>
      </c>
      <c r="N41" s="20">
        <f>IFERROR(__xludf.DUMMYFUNCTION("""COMPUTED_VALUE"""),45752.0)</f>
        <v>45752</v>
      </c>
      <c r="O41" s="18" t="s">
        <v>55</v>
      </c>
      <c r="P41" s="15" t="s">
        <v>13</v>
      </c>
      <c r="Q41" s="19">
        <v>1156.0</v>
      </c>
      <c r="R41" s="15" t="s">
        <v>23</v>
      </c>
      <c r="S41" s="20">
        <v>45757.0</v>
      </c>
    </row>
    <row r="42">
      <c r="A42" s="11" t="s">
        <v>45</v>
      </c>
      <c r="B42" s="12" t="s">
        <v>13</v>
      </c>
      <c r="C42" s="13">
        <v>1001.0</v>
      </c>
      <c r="D42" s="11" t="s">
        <v>23</v>
      </c>
      <c r="E42" s="14">
        <v>45761.0</v>
      </c>
      <c r="F42" s="15" t="str">
        <f t="shared" si="1"/>
        <v>Преміум</v>
      </c>
      <c r="J42" s="18" t="str">
        <f>IFERROR(__xludf.DUMMYFUNCTION("""COMPUTED_VALUE"""),"Юрій")</f>
        <v>Юрій</v>
      </c>
      <c r="K42" s="15" t="str">
        <f>IFERROR(__xludf.DUMMYFUNCTION("""COMPUTED_VALUE"""),"B")</f>
        <v>B</v>
      </c>
      <c r="L42" s="19">
        <f>IFERROR(__xludf.DUMMYFUNCTION("""COMPUTED_VALUE"""),1111.0)</f>
        <v>1111</v>
      </c>
      <c r="M42" s="15" t="str">
        <f>IFERROR(__xludf.DUMMYFUNCTION("""COMPUTED_VALUE"""),"Одеса")</f>
        <v>Одеса</v>
      </c>
      <c r="N42" s="20">
        <f>IFERROR(__xludf.DUMMYFUNCTION("""COMPUTED_VALUE"""),45763.0)</f>
        <v>45763</v>
      </c>
      <c r="O42" s="18" t="s">
        <v>48</v>
      </c>
      <c r="P42" s="15" t="s">
        <v>13</v>
      </c>
      <c r="Q42" s="19">
        <v>1155.0</v>
      </c>
      <c r="R42" s="15" t="s">
        <v>21</v>
      </c>
      <c r="S42" s="20">
        <v>45773.0</v>
      </c>
    </row>
    <row r="43">
      <c r="A43" s="11" t="s">
        <v>49</v>
      </c>
      <c r="B43" s="12" t="s">
        <v>16</v>
      </c>
      <c r="C43" s="13">
        <v>1378.0</v>
      </c>
      <c r="D43" s="11" t="s">
        <v>17</v>
      </c>
      <c r="E43" s="14">
        <v>45758.0</v>
      </c>
      <c r="F43" s="15" t="str">
        <f t="shared" si="1"/>
        <v>Преміум</v>
      </c>
      <c r="J43" s="18" t="str">
        <f>IFERROR(__xludf.DUMMYFUNCTION("""COMPUTED_VALUE"""),"Ксенія")</f>
        <v>Ксенія</v>
      </c>
      <c r="K43" s="15" t="str">
        <f>IFERROR(__xludf.DUMMYFUNCTION("""COMPUTED_VALUE"""),"C")</f>
        <v>C</v>
      </c>
      <c r="L43" s="19">
        <f>IFERROR(__xludf.DUMMYFUNCTION("""COMPUTED_VALUE"""),1625.0)</f>
        <v>1625</v>
      </c>
      <c r="M43" s="15" t="str">
        <f>IFERROR(__xludf.DUMMYFUNCTION("""COMPUTED_VALUE"""),"Одеса")</f>
        <v>Одеса</v>
      </c>
      <c r="N43" s="20">
        <f>IFERROR(__xludf.DUMMYFUNCTION("""COMPUTED_VALUE"""),45765.0)</f>
        <v>45765</v>
      </c>
      <c r="O43" s="18" t="s">
        <v>56</v>
      </c>
      <c r="P43" s="15" t="s">
        <v>13</v>
      </c>
      <c r="Q43" s="19">
        <v>1112.0</v>
      </c>
      <c r="R43" s="15" t="s">
        <v>21</v>
      </c>
      <c r="S43" s="20">
        <v>45748.0</v>
      </c>
    </row>
    <row r="44">
      <c r="A44" s="11" t="s">
        <v>22</v>
      </c>
      <c r="B44" s="12" t="s">
        <v>20</v>
      </c>
      <c r="C44" s="13">
        <v>1606.0</v>
      </c>
      <c r="D44" s="11" t="s">
        <v>17</v>
      </c>
      <c r="E44" s="14">
        <v>45774.0</v>
      </c>
      <c r="F44" s="15" t="str">
        <f t="shared" si="1"/>
        <v>Преміум</v>
      </c>
      <c r="J44" s="18" t="str">
        <f>IFERROR(__xludf.DUMMYFUNCTION("""COMPUTED_VALUE"""),"Андрій")</f>
        <v>Андрій</v>
      </c>
      <c r="K44" s="15" t="str">
        <f>IFERROR(__xludf.DUMMYFUNCTION("""COMPUTED_VALUE"""),"A")</f>
        <v>A</v>
      </c>
      <c r="L44" s="19">
        <f>IFERROR(__xludf.DUMMYFUNCTION("""COMPUTED_VALUE"""),1782.0)</f>
        <v>1782</v>
      </c>
      <c r="M44" s="15" t="str">
        <f>IFERROR(__xludf.DUMMYFUNCTION("""COMPUTED_VALUE"""),"Львів")</f>
        <v>Львів</v>
      </c>
      <c r="N44" s="20">
        <f>IFERROR(__xludf.DUMMYFUNCTION("""COMPUTED_VALUE"""),45750.0)</f>
        <v>45750</v>
      </c>
      <c r="O44" s="18" t="s">
        <v>37</v>
      </c>
      <c r="P44" s="15" t="s">
        <v>16</v>
      </c>
      <c r="Q44" s="19">
        <v>1111.0</v>
      </c>
      <c r="R44" s="15" t="s">
        <v>21</v>
      </c>
      <c r="S44" s="20">
        <v>45763.0</v>
      </c>
    </row>
    <row r="45">
      <c r="A45" s="11" t="s">
        <v>32</v>
      </c>
      <c r="B45" s="12" t="s">
        <v>13</v>
      </c>
      <c r="C45" s="13">
        <v>1158.0</v>
      </c>
      <c r="D45" s="11" t="s">
        <v>17</v>
      </c>
      <c r="E45" s="14">
        <v>45750.0</v>
      </c>
      <c r="F45" s="15" t="str">
        <f t="shared" si="1"/>
        <v>Преміум</v>
      </c>
      <c r="J45" s="18" t="str">
        <f>IFERROR(__xludf.DUMMYFUNCTION("""COMPUTED_VALUE"""),"Анна")</f>
        <v>Анна</v>
      </c>
      <c r="K45" s="15" t="str">
        <f>IFERROR(__xludf.DUMMYFUNCTION("""COMPUTED_VALUE"""),"B")</f>
        <v>B</v>
      </c>
      <c r="L45" s="19">
        <f>IFERROR(__xludf.DUMMYFUNCTION("""COMPUTED_VALUE"""),1520.0)</f>
        <v>1520</v>
      </c>
      <c r="M45" s="15" t="str">
        <f>IFERROR(__xludf.DUMMYFUNCTION("""COMPUTED_VALUE"""),"Одеса")</f>
        <v>Одеса</v>
      </c>
      <c r="N45" s="20">
        <f>IFERROR(__xludf.DUMMYFUNCTION("""COMPUTED_VALUE"""),45753.0)</f>
        <v>45753</v>
      </c>
      <c r="O45" s="18" t="s">
        <v>12</v>
      </c>
      <c r="P45" s="15" t="s">
        <v>13</v>
      </c>
      <c r="Q45" s="19">
        <v>1091.0</v>
      </c>
      <c r="R45" s="15" t="s">
        <v>14</v>
      </c>
      <c r="S45" s="20">
        <v>45764.0</v>
      </c>
    </row>
    <row r="46">
      <c r="A46" s="11" t="s">
        <v>24</v>
      </c>
      <c r="B46" s="12" t="s">
        <v>13</v>
      </c>
      <c r="C46" s="13">
        <v>1230.0</v>
      </c>
      <c r="D46" s="11" t="s">
        <v>14</v>
      </c>
      <c r="E46" s="14">
        <v>45752.0</v>
      </c>
      <c r="F46" s="15" t="str">
        <f t="shared" si="1"/>
        <v>Преміум</v>
      </c>
      <c r="J46" s="18" t="str">
        <f>IFERROR(__xludf.DUMMYFUNCTION("""COMPUTED_VALUE"""),"Ілля")</f>
        <v>Ілля</v>
      </c>
      <c r="K46" s="15" t="str">
        <f>IFERROR(__xludf.DUMMYFUNCTION("""COMPUTED_VALUE"""),"B")</f>
        <v>B</v>
      </c>
      <c r="L46" s="19">
        <f>IFERROR(__xludf.DUMMYFUNCTION("""COMPUTED_VALUE"""),1335.0)</f>
        <v>1335</v>
      </c>
      <c r="M46" s="15" t="str">
        <f>IFERROR(__xludf.DUMMYFUNCTION("""COMPUTED_VALUE"""),"Київ")</f>
        <v>Київ</v>
      </c>
      <c r="N46" s="20">
        <f>IFERROR(__xludf.DUMMYFUNCTION("""COMPUTED_VALUE"""),45778.0)</f>
        <v>45778</v>
      </c>
      <c r="O46" s="18" t="s">
        <v>28</v>
      </c>
      <c r="P46" s="15" t="s">
        <v>13</v>
      </c>
      <c r="Q46" s="19">
        <v>1083.0</v>
      </c>
      <c r="R46" s="15" t="s">
        <v>23</v>
      </c>
      <c r="S46" s="20">
        <v>45756.0</v>
      </c>
    </row>
    <row r="47">
      <c r="A47" s="11" t="s">
        <v>57</v>
      </c>
      <c r="B47" s="12" t="s">
        <v>13</v>
      </c>
      <c r="C47" s="13">
        <v>743.0</v>
      </c>
      <c r="D47" s="11" t="s">
        <v>23</v>
      </c>
      <c r="E47" s="14">
        <v>45767.0</v>
      </c>
      <c r="F47" s="15" t="str">
        <f t="shared" si="1"/>
        <v>Звичайний</v>
      </c>
      <c r="J47" s="18" t="str">
        <f>IFERROR(__xludf.DUMMYFUNCTION("""COMPUTED_VALUE"""),"Петро")</f>
        <v>Петро</v>
      </c>
      <c r="K47" s="15" t="str">
        <f>IFERROR(__xludf.DUMMYFUNCTION("""COMPUTED_VALUE"""),"A")</f>
        <v>A</v>
      </c>
      <c r="L47" s="19">
        <f>IFERROR(__xludf.DUMMYFUNCTION("""COMPUTED_VALUE"""),1785.0)</f>
        <v>1785</v>
      </c>
      <c r="M47" s="15" t="str">
        <f>IFERROR(__xludf.DUMMYFUNCTION("""COMPUTED_VALUE"""),"Київ")</f>
        <v>Київ</v>
      </c>
      <c r="N47" s="20">
        <f>IFERROR(__xludf.DUMMYFUNCTION("""COMPUTED_VALUE"""),45763.0)</f>
        <v>45763</v>
      </c>
      <c r="O47" s="18" t="s">
        <v>30</v>
      </c>
      <c r="P47" s="15" t="s">
        <v>16</v>
      </c>
      <c r="Q47" s="19">
        <v>1066.0</v>
      </c>
      <c r="R47" s="15" t="s">
        <v>14</v>
      </c>
      <c r="S47" s="20">
        <v>45772.0</v>
      </c>
    </row>
    <row r="48">
      <c r="A48" s="11" t="s">
        <v>55</v>
      </c>
      <c r="B48" s="12" t="s">
        <v>13</v>
      </c>
      <c r="C48" s="13">
        <v>1156.0</v>
      </c>
      <c r="D48" s="11" t="s">
        <v>23</v>
      </c>
      <c r="E48" s="14">
        <v>45757.0</v>
      </c>
      <c r="F48" s="15" t="str">
        <f t="shared" si="1"/>
        <v>Преміум</v>
      </c>
      <c r="J48" s="18" t="str">
        <f>IFERROR(__xludf.DUMMYFUNCTION("""COMPUTED_VALUE"""),"Остап")</f>
        <v>Остап</v>
      </c>
      <c r="K48" s="15" t="str">
        <f>IFERROR(__xludf.DUMMYFUNCTION("""COMPUTED_VALUE"""),"C")</f>
        <v>C</v>
      </c>
      <c r="L48" s="19">
        <f>IFERROR(__xludf.DUMMYFUNCTION("""COMPUTED_VALUE"""),1480.0)</f>
        <v>1480</v>
      </c>
      <c r="M48" s="15" t="str">
        <f>IFERROR(__xludf.DUMMYFUNCTION("""COMPUTED_VALUE"""),"Київ")</f>
        <v>Київ</v>
      </c>
      <c r="N48" s="20">
        <f>IFERROR(__xludf.DUMMYFUNCTION("""COMPUTED_VALUE"""),45748.0)</f>
        <v>45748</v>
      </c>
      <c r="O48" s="18" t="s">
        <v>31</v>
      </c>
      <c r="P48" s="15" t="s">
        <v>13</v>
      </c>
      <c r="Q48" s="19">
        <v>1042.0</v>
      </c>
      <c r="R48" s="15" t="s">
        <v>23</v>
      </c>
      <c r="S48" s="20">
        <v>45756.0</v>
      </c>
    </row>
    <row r="49">
      <c r="A49" s="11" t="s">
        <v>44</v>
      </c>
      <c r="B49" s="12" t="s">
        <v>16</v>
      </c>
      <c r="C49" s="13">
        <v>1507.0</v>
      </c>
      <c r="D49" s="11" t="s">
        <v>14</v>
      </c>
      <c r="E49" s="14">
        <v>45767.0</v>
      </c>
      <c r="F49" s="15" t="str">
        <f t="shared" si="1"/>
        <v>Преміум</v>
      </c>
      <c r="J49" s="18" t="str">
        <f>IFERROR(__xludf.DUMMYFUNCTION("""COMPUTED_VALUE"""),"Ксенія")</f>
        <v>Ксенія</v>
      </c>
      <c r="K49" s="15" t="str">
        <f>IFERROR(__xludf.DUMMYFUNCTION("""COMPUTED_VALUE"""),"A")</f>
        <v>A</v>
      </c>
      <c r="L49" s="19">
        <f>IFERROR(__xludf.DUMMYFUNCTION("""COMPUTED_VALUE"""),1042.0)</f>
        <v>1042</v>
      </c>
      <c r="M49" s="15" t="str">
        <f>IFERROR(__xludf.DUMMYFUNCTION("""COMPUTED_VALUE"""),"Львів")</f>
        <v>Львів</v>
      </c>
      <c r="N49" s="20">
        <f>IFERROR(__xludf.DUMMYFUNCTION("""COMPUTED_VALUE"""),45756.0)</f>
        <v>45756</v>
      </c>
      <c r="O49" s="18" t="s">
        <v>58</v>
      </c>
      <c r="P49" s="15" t="s">
        <v>13</v>
      </c>
      <c r="Q49" s="19">
        <v>1041.0</v>
      </c>
      <c r="R49" s="15" t="s">
        <v>14</v>
      </c>
      <c r="S49" s="20">
        <v>45749.0</v>
      </c>
    </row>
    <row r="50">
      <c r="A50" s="11" t="s">
        <v>59</v>
      </c>
      <c r="B50" s="12" t="s">
        <v>13</v>
      </c>
      <c r="C50" s="13">
        <v>283.0</v>
      </c>
      <c r="D50" s="11" t="s">
        <v>17</v>
      </c>
      <c r="E50" s="14">
        <v>45776.0</v>
      </c>
      <c r="F50" s="15" t="str">
        <f t="shared" si="1"/>
        <v>Звичайний</v>
      </c>
      <c r="J50" s="18" t="str">
        <f>IFERROR(__xludf.DUMMYFUNCTION("""COMPUTED_VALUE"""),"Мирослава")</f>
        <v>Мирослава</v>
      </c>
      <c r="K50" s="15" t="str">
        <f>IFERROR(__xludf.DUMMYFUNCTION("""COMPUTED_VALUE"""),"B")</f>
        <v>B</v>
      </c>
      <c r="L50" s="19">
        <f>IFERROR(__xludf.DUMMYFUNCTION("""COMPUTED_VALUE"""),1365.0)</f>
        <v>1365</v>
      </c>
      <c r="M50" s="15" t="str">
        <f>IFERROR(__xludf.DUMMYFUNCTION("""COMPUTED_VALUE"""),"Київ")</f>
        <v>Київ</v>
      </c>
      <c r="N50" s="20">
        <f>IFERROR(__xludf.DUMMYFUNCTION("""COMPUTED_VALUE"""),45748.0)</f>
        <v>45748</v>
      </c>
      <c r="O50" s="18" t="s">
        <v>32</v>
      </c>
      <c r="P50" s="15" t="s">
        <v>13</v>
      </c>
      <c r="Q50" s="19">
        <v>1028.0</v>
      </c>
      <c r="R50" s="15" t="s">
        <v>17</v>
      </c>
      <c r="S50" s="20">
        <v>45764.0</v>
      </c>
    </row>
    <row r="51">
      <c r="A51" s="11" t="s">
        <v>45</v>
      </c>
      <c r="B51" s="12" t="s">
        <v>13</v>
      </c>
      <c r="C51" s="13">
        <v>1449.0</v>
      </c>
      <c r="D51" s="11" t="s">
        <v>14</v>
      </c>
      <c r="E51" s="14">
        <v>45773.0</v>
      </c>
      <c r="F51" s="15" t="str">
        <f t="shared" si="1"/>
        <v>Преміум</v>
      </c>
      <c r="J51" s="18" t="str">
        <f>IFERROR(__xludf.DUMMYFUNCTION("""COMPUTED_VALUE"""),"Софія")</f>
        <v>Софія</v>
      </c>
      <c r="K51" s="15" t="str">
        <f>IFERROR(__xludf.DUMMYFUNCTION("""COMPUTED_VALUE"""),"A")</f>
        <v>A</v>
      </c>
      <c r="L51" s="19">
        <f>IFERROR(__xludf.DUMMYFUNCTION("""COMPUTED_VALUE"""),1325.0)</f>
        <v>1325</v>
      </c>
      <c r="M51" s="15" t="str">
        <f>IFERROR(__xludf.DUMMYFUNCTION("""COMPUTED_VALUE"""),"Львів")</f>
        <v>Львів</v>
      </c>
      <c r="N51" s="20">
        <f>IFERROR(__xludf.DUMMYFUNCTION("""COMPUTED_VALUE"""),45761.0)</f>
        <v>45761</v>
      </c>
      <c r="O51" s="18" t="s">
        <v>60</v>
      </c>
      <c r="P51" s="15" t="s">
        <v>16</v>
      </c>
      <c r="Q51" s="19">
        <v>1025.0</v>
      </c>
      <c r="R51" s="15" t="s">
        <v>21</v>
      </c>
      <c r="S51" s="20">
        <v>45771.0</v>
      </c>
    </row>
    <row r="52">
      <c r="A52" s="11" t="s">
        <v>43</v>
      </c>
      <c r="B52" s="12" t="s">
        <v>13</v>
      </c>
      <c r="C52" s="13">
        <v>1289.0</v>
      </c>
      <c r="D52" s="11" t="s">
        <v>14</v>
      </c>
      <c r="E52" s="14">
        <v>45771.0</v>
      </c>
      <c r="F52" s="15" t="str">
        <f t="shared" si="1"/>
        <v>Преміум</v>
      </c>
      <c r="J52" s="18" t="str">
        <f>IFERROR(__xludf.DUMMYFUNCTION("""COMPUTED_VALUE"""),"Артур")</f>
        <v>Артур</v>
      </c>
      <c r="K52" s="15" t="str">
        <f>IFERROR(__xludf.DUMMYFUNCTION("""COMPUTED_VALUE"""),"A")</f>
        <v>A</v>
      </c>
      <c r="L52" s="19">
        <f>IFERROR(__xludf.DUMMYFUNCTION("""COMPUTED_VALUE"""),1083.0)</f>
        <v>1083</v>
      </c>
      <c r="M52" s="15" t="str">
        <f>IFERROR(__xludf.DUMMYFUNCTION("""COMPUTED_VALUE"""),"Львів")</f>
        <v>Львів</v>
      </c>
      <c r="N52" s="20">
        <f>IFERROR(__xludf.DUMMYFUNCTION("""COMPUTED_VALUE"""),45756.0)</f>
        <v>45756</v>
      </c>
      <c r="O52" s="18" t="s">
        <v>47</v>
      </c>
      <c r="P52" s="15" t="s">
        <v>20</v>
      </c>
      <c r="Q52" s="19">
        <v>1005.0</v>
      </c>
      <c r="R52" s="15" t="s">
        <v>14</v>
      </c>
      <c r="S52" s="20">
        <v>45775.0</v>
      </c>
    </row>
    <row r="53">
      <c r="A53" s="11" t="s">
        <v>12</v>
      </c>
      <c r="B53" s="12" t="s">
        <v>16</v>
      </c>
      <c r="C53" s="13">
        <v>1680.0</v>
      </c>
      <c r="D53" s="11" t="s">
        <v>23</v>
      </c>
      <c r="E53" s="14">
        <v>45759.0</v>
      </c>
      <c r="F53" s="15" t="str">
        <f t="shared" si="1"/>
        <v>Преміум</v>
      </c>
      <c r="J53" s="18" t="str">
        <f>IFERROR(__xludf.DUMMYFUNCTION("""COMPUTED_VALUE"""),"Петро")</f>
        <v>Петро</v>
      </c>
      <c r="K53" s="15" t="str">
        <f>IFERROR(__xludf.DUMMYFUNCTION("""COMPUTED_VALUE"""),"B")</f>
        <v>B</v>
      </c>
      <c r="L53" s="19">
        <f>IFERROR(__xludf.DUMMYFUNCTION("""COMPUTED_VALUE"""),1278.0)</f>
        <v>1278</v>
      </c>
      <c r="M53" s="15" t="str">
        <f>IFERROR(__xludf.DUMMYFUNCTION("""COMPUTED_VALUE"""),"Харків")</f>
        <v>Харків</v>
      </c>
      <c r="N53" s="20">
        <f>IFERROR(__xludf.DUMMYFUNCTION("""COMPUTED_VALUE"""),45775.0)</f>
        <v>45775</v>
      </c>
      <c r="O53" s="18" t="s">
        <v>45</v>
      </c>
      <c r="P53" s="15" t="s">
        <v>13</v>
      </c>
      <c r="Q53" s="19">
        <v>1001.0</v>
      </c>
      <c r="R53" s="15" t="s">
        <v>23</v>
      </c>
      <c r="S53" s="20">
        <v>45761.0</v>
      </c>
    </row>
    <row r="54">
      <c r="A54" s="11" t="s">
        <v>60</v>
      </c>
      <c r="B54" s="12" t="s">
        <v>16</v>
      </c>
      <c r="C54" s="13">
        <v>792.0</v>
      </c>
      <c r="D54" s="11" t="s">
        <v>14</v>
      </c>
      <c r="E54" s="14">
        <v>45768.0</v>
      </c>
      <c r="F54" s="15" t="str">
        <f t="shared" si="1"/>
        <v>Звичайний</v>
      </c>
      <c r="J54" s="18"/>
      <c r="O54" s="18" t="s">
        <v>61</v>
      </c>
      <c r="P54" s="15" t="s">
        <v>20</v>
      </c>
      <c r="Q54" s="19">
        <v>990.0</v>
      </c>
      <c r="R54" s="15" t="s">
        <v>14</v>
      </c>
      <c r="S54" s="20">
        <v>45759.0</v>
      </c>
    </row>
    <row r="55">
      <c r="A55" s="11" t="s">
        <v>28</v>
      </c>
      <c r="B55" s="12" t="s">
        <v>13</v>
      </c>
      <c r="C55" s="13">
        <v>1763.0</v>
      </c>
      <c r="D55" s="11" t="s">
        <v>23</v>
      </c>
      <c r="E55" s="14">
        <v>45768.0</v>
      </c>
      <c r="F55" s="15" t="str">
        <f t="shared" si="1"/>
        <v>Преміум</v>
      </c>
      <c r="J55" s="18"/>
      <c r="O55" s="18" t="s">
        <v>19</v>
      </c>
      <c r="P55" s="15" t="s">
        <v>20</v>
      </c>
      <c r="Q55" s="19">
        <v>989.0</v>
      </c>
      <c r="R55" s="15" t="s">
        <v>21</v>
      </c>
      <c r="S55" s="20">
        <v>45773.0</v>
      </c>
    </row>
    <row r="56">
      <c r="A56" s="11" t="s">
        <v>30</v>
      </c>
      <c r="B56" s="12" t="s">
        <v>16</v>
      </c>
      <c r="C56" s="13">
        <v>1066.0</v>
      </c>
      <c r="D56" s="11" t="s">
        <v>14</v>
      </c>
      <c r="E56" s="14">
        <v>45772.0</v>
      </c>
      <c r="F56" s="15" t="str">
        <f t="shared" si="1"/>
        <v>Преміум</v>
      </c>
      <c r="J56" s="18"/>
      <c r="O56" s="18" t="s">
        <v>48</v>
      </c>
      <c r="P56" s="15" t="s">
        <v>13</v>
      </c>
      <c r="Q56" s="19">
        <v>957.0</v>
      </c>
      <c r="R56" s="15" t="s">
        <v>21</v>
      </c>
      <c r="S56" s="20">
        <v>45772.0</v>
      </c>
    </row>
    <row r="57">
      <c r="A57" s="11" t="s">
        <v>25</v>
      </c>
      <c r="B57" s="12" t="s">
        <v>13</v>
      </c>
      <c r="C57" s="13">
        <v>1588.0</v>
      </c>
      <c r="D57" s="11" t="s">
        <v>21</v>
      </c>
      <c r="E57" s="14">
        <v>45759.0</v>
      </c>
      <c r="F57" s="15" t="str">
        <f t="shared" si="1"/>
        <v>Преміум</v>
      </c>
      <c r="J57" s="18"/>
      <c r="O57" s="18" t="s">
        <v>50</v>
      </c>
      <c r="P57" s="15" t="s">
        <v>20</v>
      </c>
      <c r="Q57" s="19">
        <v>947.0</v>
      </c>
      <c r="R57" s="15" t="s">
        <v>14</v>
      </c>
      <c r="S57" s="20">
        <v>45774.0</v>
      </c>
    </row>
    <row r="58">
      <c r="A58" s="11" t="s">
        <v>33</v>
      </c>
      <c r="B58" s="12" t="s">
        <v>16</v>
      </c>
      <c r="C58" s="13">
        <v>491.0</v>
      </c>
      <c r="D58" s="11" t="s">
        <v>21</v>
      </c>
      <c r="E58" s="14">
        <v>45775.0</v>
      </c>
      <c r="F58" s="15" t="str">
        <f t="shared" si="1"/>
        <v>Звичайний</v>
      </c>
      <c r="J58" s="18"/>
      <c r="O58" s="18" t="s">
        <v>35</v>
      </c>
      <c r="P58" s="15" t="s">
        <v>20</v>
      </c>
      <c r="Q58" s="19">
        <v>944.0</v>
      </c>
      <c r="R58" s="15" t="s">
        <v>21</v>
      </c>
      <c r="S58" s="20">
        <v>45750.0</v>
      </c>
    </row>
    <row r="59">
      <c r="A59" s="11" t="s">
        <v>45</v>
      </c>
      <c r="B59" s="12" t="s">
        <v>20</v>
      </c>
      <c r="C59" s="13">
        <v>1191.0</v>
      </c>
      <c r="D59" s="11" t="s">
        <v>21</v>
      </c>
      <c r="E59" s="14">
        <v>45766.0</v>
      </c>
      <c r="F59" s="15" t="str">
        <f t="shared" si="1"/>
        <v>Преміум</v>
      </c>
      <c r="J59" s="18"/>
      <c r="O59" s="18" t="s">
        <v>57</v>
      </c>
      <c r="P59" s="15" t="s">
        <v>13</v>
      </c>
      <c r="Q59" s="19">
        <v>940.0</v>
      </c>
      <c r="R59" s="15" t="s">
        <v>17</v>
      </c>
      <c r="S59" s="20">
        <v>45763.0</v>
      </c>
    </row>
    <row r="60">
      <c r="A60" s="11" t="s">
        <v>36</v>
      </c>
      <c r="B60" s="12" t="s">
        <v>16</v>
      </c>
      <c r="C60" s="13">
        <v>1604.0</v>
      </c>
      <c r="D60" s="11" t="s">
        <v>21</v>
      </c>
      <c r="E60" s="14">
        <v>45762.0</v>
      </c>
      <c r="F60" s="15" t="str">
        <f t="shared" si="1"/>
        <v>Преміум</v>
      </c>
      <c r="J60" s="18"/>
      <c r="O60" s="18" t="s">
        <v>25</v>
      </c>
      <c r="P60" s="15" t="s">
        <v>16</v>
      </c>
      <c r="Q60" s="19">
        <v>919.0</v>
      </c>
      <c r="R60" s="15" t="s">
        <v>17</v>
      </c>
      <c r="S60" s="20">
        <v>45763.0</v>
      </c>
    </row>
    <row r="61">
      <c r="A61" s="11" t="s">
        <v>61</v>
      </c>
      <c r="B61" s="12" t="s">
        <v>20</v>
      </c>
      <c r="C61" s="13">
        <v>990.0</v>
      </c>
      <c r="D61" s="11" t="s">
        <v>14</v>
      </c>
      <c r="E61" s="14">
        <v>45759.0</v>
      </c>
      <c r="F61" s="15" t="str">
        <f t="shared" si="1"/>
        <v>Звичайний</v>
      </c>
      <c r="J61" s="18"/>
      <c r="O61" s="18" t="s">
        <v>42</v>
      </c>
      <c r="P61" s="15" t="s">
        <v>16</v>
      </c>
      <c r="Q61" s="19">
        <v>887.0</v>
      </c>
      <c r="R61" s="15" t="s">
        <v>23</v>
      </c>
      <c r="S61" s="20">
        <v>45775.0</v>
      </c>
    </row>
    <row r="62">
      <c r="A62" s="11" t="s">
        <v>42</v>
      </c>
      <c r="B62" s="12" t="s">
        <v>13</v>
      </c>
      <c r="C62" s="13">
        <v>472.0</v>
      </c>
      <c r="D62" s="11" t="s">
        <v>21</v>
      </c>
      <c r="E62" s="14">
        <v>45769.0</v>
      </c>
      <c r="F62" s="15" t="str">
        <f t="shared" si="1"/>
        <v>Звичайний</v>
      </c>
      <c r="J62" s="18"/>
      <c r="O62" s="18" t="s">
        <v>41</v>
      </c>
      <c r="P62" s="15" t="s">
        <v>16</v>
      </c>
      <c r="Q62" s="19">
        <v>838.0</v>
      </c>
      <c r="R62" s="15" t="s">
        <v>17</v>
      </c>
      <c r="S62" s="20">
        <v>45753.0</v>
      </c>
    </row>
    <row r="63">
      <c r="A63" s="11" t="s">
        <v>58</v>
      </c>
      <c r="B63" s="12" t="s">
        <v>13</v>
      </c>
      <c r="C63" s="13">
        <v>1041.0</v>
      </c>
      <c r="D63" s="11" t="s">
        <v>14</v>
      </c>
      <c r="E63" s="14">
        <v>45749.0</v>
      </c>
      <c r="F63" s="15" t="str">
        <f t="shared" si="1"/>
        <v>Преміум</v>
      </c>
      <c r="J63" s="18"/>
      <c r="O63" s="18" t="s">
        <v>51</v>
      </c>
      <c r="P63" s="15" t="s">
        <v>20</v>
      </c>
      <c r="Q63" s="19">
        <v>835.0</v>
      </c>
      <c r="R63" s="15" t="s">
        <v>17</v>
      </c>
      <c r="S63" s="20">
        <v>45778.0</v>
      </c>
    </row>
    <row r="64">
      <c r="A64" s="11" t="s">
        <v>60</v>
      </c>
      <c r="B64" s="12" t="s">
        <v>16</v>
      </c>
      <c r="C64" s="13">
        <v>1025.0</v>
      </c>
      <c r="D64" s="11" t="s">
        <v>21</v>
      </c>
      <c r="E64" s="14">
        <v>45771.0</v>
      </c>
      <c r="F64" s="15" t="str">
        <f t="shared" si="1"/>
        <v>Преміум</v>
      </c>
      <c r="J64" s="18"/>
      <c r="O64" s="18" t="s">
        <v>24</v>
      </c>
      <c r="P64" s="15" t="s">
        <v>20</v>
      </c>
      <c r="Q64" s="19">
        <v>815.0</v>
      </c>
      <c r="R64" s="15" t="s">
        <v>14</v>
      </c>
      <c r="S64" s="20">
        <v>45751.0</v>
      </c>
    </row>
    <row r="65">
      <c r="A65" s="11" t="s">
        <v>62</v>
      </c>
      <c r="B65" s="12" t="s">
        <v>20</v>
      </c>
      <c r="C65" s="13">
        <v>496.0</v>
      </c>
      <c r="D65" s="11" t="s">
        <v>21</v>
      </c>
      <c r="E65" s="14">
        <v>45767.0</v>
      </c>
      <c r="F65" s="15" t="str">
        <f t="shared" si="1"/>
        <v>Звичайний</v>
      </c>
      <c r="J65" s="18"/>
      <c r="O65" s="18" t="s">
        <v>43</v>
      </c>
      <c r="P65" s="15" t="s">
        <v>16</v>
      </c>
      <c r="Q65" s="19">
        <v>809.0</v>
      </c>
      <c r="R65" s="15" t="s">
        <v>23</v>
      </c>
      <c r="S65" s="20">
        <v>45770.0</v>
      </c>
    </row>
    <row r="66">
      <c r="A66" s="11" t="s">
        <v>62</v>
      </c>
      <c r="B66" s="12" t="s">
        <v>20</v>
      </c>
      <c r="C66" s="13">
        <v>720.0</v>
      </c>
      <c r="D66" s="11" t="s">
        <v>21</v>
      </c>
      <c r="E66" s="14">
        <v>45754.0</v>
      </c>
      <c r="F66" s="15" t="str">
        <f t="shared" si="1"/>
        <v>Звичайний</v>
      </c>
      <c r="J66" s="18"/>
      <c r="O66" s="18" t="s">
        <v>60</v>
      </c>
      <c r="P66" s="15" t="s">
        <v>16</v>
      </c>
      <c r="Q66" s="19">
        <v>792.0</v>
      </c>
      <c r="R66" s="15" t="s">
        <v>14</v>
      </c>
      <c r="S66" s="20">
        <v>45768.0</v>
      </c>
    </row>
    <row r="67">
      <c r="A67" s="11" t="s">
        <v>44</v>
      </c>
      <c r="B67" s="12" t="s">
        <v>13</v>
      </c>
      <c r="C67" s="13">
        <v>650.0</v>
      </c>
      <c r="D67" s="11" t="s">
        <v>14</v>
      </c>
      <c r="E67" s="14">
        <v>45770.0</v>
      </c>
      <c r="F67" s="15" t="str">
        <f t="shared" si="1"/>
        <v>Звичайний</v>
      </c>
      <c r="J67" s="18"/>
      <c r="O67" s="18" t="s">
        <v>38</v>
      </c>
      <c r="P67" s="15" t="s">
        <v>13</v>
      </c>
      <c r="Q67" s="19">
        <v>781.0</v>
      </c>
      <c r="R67" s="15" t="s">
        <v>17</v>
      </c>
      <c r="S67" s="20">
        <v>45772.0</v>
      </c>
    </row>
    <row r="68">
      <c r="A68" s="11" t="s">
        <v>34</v>
      </c>
      <c r="B68" s="12" t="s">
        <v>20</v>
      </c>
      <c r="C68" s="13">
        <v>387.0</v>
      </c>
      <c r="D68" s="11" t="s">
        <v>17</v>
      </c>
      <c r="E68" s="14">
        <v>45768.0</v>
      </c>
      <c r="F68" s="15" t="str">
        <f t="shared" si="1"/>
        <v>Звичайний</v>
      </c>
      <c r="J68" s="18"/>
      <c r="O68" s="18" t="s">
        <v>41</v>
      </c>
      <c r="P68" s="15" t="s">
        <v>16</v>
      </c>
      <c r="Q68" s="19">
        <v>779.0</v>
      </c>
      <c r="R68" s="15" t="s">
        <v>14</v>
      </c>
      <c r="S68" s="20">
        <v>45771.0</v>
      </c>
    </row>
    <row r="69">
      <c r="A69" s="11" t="s">
        <v>47</v>
      </c>
      <c r="B69" s="12" t="s">
        <v>20</v>
      </c>
      <c r="C69" s="13">
        <v>1005.0</v>
      </c>
      <c r="D69" s="11" t="s">
        <v>14</v>
      </c>
      <c r="E69" s="14">
        <v>45775.0</v>
      </c>
      <c r="F69" s="15" t="str">
        <f t="shared" si="1"/>
        <v>Преміум</v>
      </c>
      <c r="J69" s="18"/>
      <c r="O69" s="18" t="s">
        <v>33</v>
      </c>
      <c r="P69" s="15" t="s">
        <v>13</v>
      </c>
      <c r="Q69" s="19">
        <v>778.0</v>
      </c>
      <c r="R69" s="15" t="s">
        <v>21</v>
      </c>
      <c r="S69" s="20">
        <v>45759.0</v>
      </c>
    </row>
    <row r="70">
      <c r="A70" s="11" t="s">
        <v>15</v>
      </c>
      <c r="B70" s="12" t="s">
        <v>20</v>
      </c>
      <c r="C70" s="13">
        <v>476.0</v>
      </c>
      <c r="D70" s="11" t="s">
        <v>17</v>
      </c>
      <c r="E70" s="14">
        <v>45776.0</v>
      </c>
      <c r="F70" s="15" t="str">
        <f t="shared" si="1"/>
        <v>Звичайний</v>
      </c>
      <c r="J70" s="18"/>
      <c r="O70" s="18" t="s">
        <v>57</v>
      </c>
      <c r="P70" s="15" t="s">
        <v>13</v>
      </c>
      <c r="Q70" s="19">
        <v>743.0</v>
      </c>
      <c r="R70" s="15" t="s">
        <v>23</v>
      </c>
      <c r="S70" s="20">
        <v>45767.0</v>
      </c>
    </row>
    <row r="71">
      <c r="A71" s="11" t="s">
        <v>61</v>
      </c>
      <c r="B71" s="12" t="s">
        <v>20</v>
      </c>
      <c r="C71" s="13">
        <v>735.0</v>
      </c>
      <c r="D71" s="11" t="s">
        <v>17</v>
      </c>
      <c r="E71" s="14">
        <v>45767.0</v>
      </c>
      <c r="F71" s="15" t="str">
        <f t="shared" si="1"/>
        <v>Звичайний</v>
      </c>
      <c r="J71" s="18"/>
      <c r="O71" s="18" t="s">
        <v>61</v>
      </c>
      <c r="P71" s="15" t="s">
        <v>20</v>
      </c>
      <c r="Q71" s="19">
        <v>735.0</v>
      </c>
      <c r="R71" s="15" t="s">
        <v>17</v>
      </c>
      <c r="S71" s="20">
        <v>45767.0</v>
      </c>
    </row>
    <row r="72">
      <c r="A72" s="11" t="s">
        <v>43</v>
      </c>
      <c r="B72" s="12" t="s">
        <v>20</v>
      </c>
      <c r="C72" s="13">
        <v>1197.0</v>
      </c>
      <c r="D72" s="11" t="s">
        <v>14</v>
      </c>
      <c r="E72" s="14">
        <v>45778.0</v>
      </c>
      <c r="F72" s="15" t="str">
        <f t="shared" si="1"/>
        <v>Преміум</v>
      </c>
      <c r="J72" s="18"/>
      <c r="O72" s="18" t="s">
        <v>62</v>
      </c>
      <c r="P72" s="15" t="s">
        <v>20</v>
      </c>
      <c r="Q72" s="19">
        <v>720.0</v>
      </c>
      <c r="R72" s="15" t="s">
        <v>21</v>
      </c>
      <c r="S72" s="20">
        <v>45754.0</v>
      </c>
    </row>
    <row r="73">
      <c r="A73" s="11" t="s">
        <v>30</v>
      </c>
      <c r="B73" s="12" t="s">
        <v>13</v>
      </c>
      <c r="C73" s="13">
        <v>1739.0</v>
      </c>
      <c r="D73" s="11" t="s">
        <v>17</v>
      </c>
      <c r="E73" s="14">
        <v>45752.0</v>
      </c>
      <c r="F73" s="15" t="str">
        <f t="shared" si="1"/>
        <v>Преміум</v>
      </c>
      <c r="J73" s="18"/>
      <c r="O73" s="18" t="s">
        <v>46</v>
      </c>
      <c r="P73" s="15" t="s">
        <v>16</v>
      </c>
      <c r="Q73" s="19">
        <v>709.0</v>
      </c>
      <c r="R73" s="15" t="s">
        <v>21</v>
      </c>
      <c r="S73" s="20">
        <v>45752.0</v>
      </c>
    </row>
    <row r="74">
      <c r="A74" s="11" t="s">
        <v>54</v>
      </c>
      <c r="B74" s="12" t="s">
        <v>16</v>
      </c>
      <c r="C74" s="13">
        <v>210.0</v>
      </c>
      <c r="D74" s="11" t="s">
        <v>17</v>
      </c>
      <c r="E74" s="14">
        <v>45751.0</v>
      </c>
      <c r="F74" s="15" t="str">
        <f t="shared" si="1"/>
        <v>Звичайний</v>
      </c>
      <c r="J74" s="18"/>
      <c r="O74" s="18" t="s">
        <v>39</v>
      </c>
      <c r="P74" s="15" t="s">
        <v>20</v>
      </c>
      <c r="Q74" s="19">
        <v>708.0</v>
      </c>
      <c r="R74" s="15" t="s">
        <v>14</v>
      </c>
      <c r="S74" s="20">
        <v>45758.0</v>
      </c>
    </row>
    <row r="75">
      <c r="A75" s="11" t="s">
        <v>63</v>
      </c>
      <c r="B75" s="12" t="s">
        <v>13</v>
      </c>
      <c r="C75" s="13">
        <v>1793.0</v>
      </c>
      <c r="D75" s="11" t="s">
        <v>14</v>
      </c>
      <c r="E75" s="14">
        <v>45776.0</v>
      </c>
      <c r="F75" s="15" t="str">
        <f t="shared" si="1"/>
        <v>Преміум</v>
      </c>
      <c r="J75" s="18"/>
      <c r="O75" s="18" t="s">
        <v>44</v>
      </c>
      <c r="P75" s="15" t="s">
        <v>13</v>
      </c>
      <c r="Q75" s="19">
        <v>650.0</v>
      </c>
      <c r="R75" s="15" t="s">
        <v>14</v>
      </c>
      <c r="S75" s="20">
        <v>45770.0</v>
      </c>
    </row>
    <row r="76">
      <c r="A76" s="11" t="s">
        <v>64</v>
      </c>
      <c r="B76" s="12" t="s">
        <v>13</v>
      </c>
      <c r="C76" s="13">
        <v>623.0</v>
      </c>
      <c r="D76" s="11" t="s">
        <v>17</v>
      </c>
      <c r="E76" s="14">
        <v>45778.0</v>
      </c>
      <c r="F76" s="15" t="str">
        <f t="shared" si="1"/>
        <v>Звичайний</v>
      </c>
      <c r="J76" s="18"/>
      <c r="O76" s="18" t="s">
        <v>32</v>
      </c>
      <c r="P76" s="15" t="s">
        <v>13</v>
      </c>
      <c r="Q76" s="19">
        <v>648.0</v>
      </c>
      <c r="R76" s="15" t="s">
        <v>21</v>
      </c>
      <c r="S76" s="20">
        <v>45771.0</v>
      </c>
    </row>
    <row r="77">
      <c r="A77" s="11" t="s">
        <v>56</v>
      </c>
      <c r="B77" s="12" t="s">
        <v>13</v>
      </c>
      <c r="C77" s="13">
        <v>1112.0</v>
      </c>
      <c r="D77" s="11" t="s">
        <v>21</v>
      </c>
      <c r="E77" s="14">
        <v>45748.0</v>
      </c>
      <c r="F77" s="15" t="str">
        <f t="shared" si="1"/>
        <v>Преміум</v>
      </c>
      <c r="J77" s="18"/>
      <c r="O77" s="18" t="s">
        <v>64</v>
      </c>
      <c r="P77" s="15" t="s">
        <v>13</v>
      </c>
      <c r="Q77" s="19">
        <v>623.0</v>
      </c>
      <c r="R77" s="15" t="s">
        <v>17</v>
      </c>
      <c r="S77" s="20">
        <v>45778.0</v>
      </c>
    </row>
    <row r="78">
      <c r="A78" s="11" t="s">
        <v>47</v>
      </c>
      <c r="B78" s="12" t="s">
        <v>20</v>
      </c>
      <c r="C78" s="13">
        <v>1393.0</v>
      </c>
      <c r="D78" s="11" t="s">
        <v>23</v>
      </c>
      <c r="E78" s="14">
        <v>45752.0</v>
      </c>
      <c r="F78" s="15" t="str">
        <f t="shared" si="1"/>
        <v>Преміум</v>
      </c>
      <c r="J78" s="18"/>
      <c r="O78" s="18" t="s">
        <v>34</v>
      </c>
      <c r="P78" s="15" t="s">
        <v>20</v>
      </c>
      <c r="Q78" s="19">
        <v>597.0</v>
      </c>
      <c r="R78" s="15" t="s">
        <v>17</v>
      </c>
      <c r="S78" s="20">
        <v>45770.0</v>
      </c>
    </row>
    <row r="79">
      <c r="A79" s="11" t="s">
        <v>43</v>
      </c>
      <c r="B79" s="12" t="s">
        <v>16</v>
      </c>
      <c r="C79" s="13">
        <v>468.0</v>
      </c>
      <c r="D79" s="11" t="s">
        <v>23</v>
      </c>
      <c r="E79" s="14">
        <v>45774.0</v>
      </c>
      <c r="F79" s="15" t="str">
        <f t="shared" si="1"/>
        <v>Звичайний</v>
      </c>
      <c r="J79" s="18"/>
      <c r="O79" s="18" t="s">
        <v>42</v>
      </c>
      <c r="P79" s="15" t="s">
        <v>13</v>
      </c>
      <c r="Q79" s="19">
        <v>553.0</v>
      </c>
      <c r="R79" s="15" t="s">
        <v>21</v>
      </c>
      <c r="S79" s="20">
        <v>45762.0</v>
      </c>
    </row>
    <row r="80">
      <c r="A80" s="11" t="s">
        <v>42</v>
      </c>
      <c r="B80" s="12" t="s">
        <v>16</v>
      </c>
      <c r="C80" s="13">
        <v>887.0</v>
      </c>
      <c r="D80" s="11" t="s">
        <v>23</v>
      </c>
      <c r="E80" s="14">
        <v>45775.0</v>
      </c>
      <c r="F80" s="15" t="str">
        <f t="shared" si="1"/>
        <v>Звичайний</v>
      </c>
      <c r="J80" s="18"/>
      <c r="O80" s="18" t="s">
        <v>15</v>
      </c>
      <c r="P80" s="15" t="s">
        <v>13</v>
      </c>
      <c r="Q80" s="19">
        <v>528.0</v>
      </c>
      <c r="R80" s="15" t="s">
        <v>14</v>
      </c>
      <c r="S80" s="20">
        <v>45768.0</v>
      </c>
    </row>
    <row r="81">
      <c r="A81" s="11" t="s">
        <v>37</v>
      </c>
      <c r="B81" s="12" t="s">
        <v>16</v>
      </c>
      <c r="C81" s="13">
        <v>1111.0</v>
      </c>
      <c r="D81" s="11" t="s">
        <v>21</v>
      </c>
      <c r="E81" s="14">
        <v>45763.0</v>
      </c>
      <c r="F81" s="15" t="str">
        <f t="shared" si="1"/>
        <v>Преміум</v>
      </c>
      <c r="J81" s="18"/>
      <c r="O81" s="18" t="s">
        <v>62</v>
      </c>
      <c r="P81" s="15" t="s">
        <v>20</v>
      </c>
      <c r="Q81" s="19">
        <v>496.0</v>
      </c>
      <c r="R81" s="15" t="s">
        <v>21</v>
      </c>
      <c r="S81" s="20">
        <v>45767.0</v>
      </c>
    </row>
    <row r="82">
      <c r="A82" s="11" t="s">
        <v>31</v>
      </c>
      <c r="B82" s="12" t="s">
        <v>20</v>
      </c>
      <c r="C82" s="13">
        <v>1625.0</v>
      </c>
      <c r="D82" s="11" t="s">
        <v>21</v>
      </c>
      <c r="E82" s="14">
        <v>45765.0</v>
      </c>
      <c r="F82" s="15" t="str">
        <f t="shared" si="1"/>
        <v>Преміум</v>
      </c>
      <c r="J82" s="18"/>
      <c r="O82" s="18" t="s">
        <v>33</v>
      </c>
      <c r="P82" s="15" t="s">
        <v>16</v>
      </c>
      <c r="Q82" s="19">
        <v>491.0</v>
      </c>
      <c r="R82" s="15" t="s">
        <v>21</v>
      </c>
      <c r="S82" s="20">
        <v>45775.0</v>
      </c>
    </row>
    <row r="83">
      <c r="A83" s="11" t="s">
        <v>22</v>
      </c>
      <c r="B83" s="12" t="s">
        <v>13</v>
      </c>
      <c r="C83" s="13">
        <v>1782.0</v>
      </c>
      <c r="D83" s="11" t="s">
        <v>23</v>
      </c>
      <c r="E83" s="14">
        <v>45750.0</v>
      </c>
      <c r="F83" s="15" t="str">
        <f t="shared" si="1"/>
        <v>Преміум</v>
      </c>
      <c r="J83" s="18"/>
      <c r="O83" s="18" t="s">
        <v>15</v>
      </c>
      <c r="P83" s="15" t="s">
        <v>20</v>
      </c>
      <c r="Q83" s="19">
        <v>476.0</v>
      </c>
      <c r="R83" s="15" t="s">
        <v>17</v>
      </c>
      <c r="S83" s="20">
        <v>45776.0</v>
      </c>
    </row>
    <row r="84">
      <c r="A84" s="11" t="s">
        <v>51</v>
      </c>
      <c r="B84" s="12" t="s">
        <v>20</v>
      </c>
      <c r="C84" s="13">
        <v>835.0</v>
      </c>
      <c r="D84" s="11" t="s">
        <v>17</v>
      </c>
      <c r="E84" s="14">
        <v>45778.0</v>
      </c>
      <c r="F84" s="15" t="str">
        <f t="shared" si="1"/>
        <v>Звичайний</v>
      </c>
      <c r="J84" s="18"/>
      <c r="O84" s="18" t="s">
        <v>42</v>
      </c>
      <c r="P84" s="15" t="s">
        <v>13</v>
      </c>
      <c r="Q84" s="19">
        <v>472.0</v>
      </c>
      <c r="R84" s="15" t="s">
        <v>21</v>
      </c>
      <c r="S84" s="20">
        <v>45769.0</v>
      </c>
    </row>
    <row r="85">
      <c r="A85" s="11" t="s">
        <v>34</v>
      </c>
      <c r="B85" s="12" t="s">
        <v>20</v>
      </c>
      <c r="C85" s="13">
        <v>597.0</v>
      </c>
      <c r="D85" s="11" t="s">
        <v>17</v>
      </c>
      <c r="E85" s="14">
        <v>45770.0</v>
      </c>
      <c r="F85" s="15" t="str">
        <f t="shared" si="1"/>
        <v>Звичайний</v>
      </c>
      <c r="J85" s="18"/>
      <c r="O85" s="18" t="s">
        <v>43</v>
      </c>
      <c r="P85" s="15" t="s">
        <v>16</v>
      </c>
      <c r="Q85" s="19">
        <v>468.0</v>
      </c>
      <c r="R85" s="15" t="s">
        <v>23</v>
      </c>
      <c r="S85" s="20">
        <v>45774.0</v>
      </c>
    </row>
    <row r="86">
      <c r="A86" s="11" t="s">
        <v>29</v>
      </c>
      <c r="B86" s="12" t="s">
        <v>16</v>
      </c>
      <c r="C86" s="13">
        <v>1520.0</v>
      </c>
      <c r="D86" s="11" t="s">
        <v>21</v>
      </c>
      <c r="E86" s="14">
        <v>45753.0</v>
      </c>
      <c r="F86" s="15" t="str">
        <f t="shared" si="1"/>
        <v>Преміум</v>
      </c>
      <c r="J86" s="18"/>
      <c r="O86" s="18" t="s">
        <v>59</v>
      </c>
      <c r="P86" s="15" t="s">
        <v>16</v>
      </c>
      <c r="Q86" s="19">
        <v>463.0</v>
      </c>
      <c r="R86" s="15" t="s">
        <v>21</v>
      </c>
      <c r="S86" s="20">
        <v>45769.0</v>
      </c>
    </row>
    <row r="87">
      <c r="A87" s="11" t="s">
        <v>62</v>
      </c>
      <c r="B87" s="12" t="s">
        <v>16</v>
      </c>
      <c r="C87" s="13">
        <v>454.0</v>
      </c>
      <c r="D87" s="11" t="s">
        <v>21</v>
      </c>
      <c r="E87" s="14">
        <v>45764.0</v>
      </c>
      <c r="F87" s="15" t="str">
        <f t="shared" si="1"/>
        <v>Звичайний</v>
      </c>
      <c r="J87" s="18"/>
      <c r="O87" s="18" t="s">
        <v>62</v>
      </c>
      <c r="P87" s="15" t="s">
        <v>16</v>
      </c>
      <c r="Q87" s="19">
        <v>454.0</v>
      </c>
      <c r="R87" s="15" t="s">
        <v>21</v>
      </c>
      <c r="S87" s="20">
        <v>45764.0</v>
      </c>
    </row>
    <row r="88">
      <c r="A88" s="11" t="s">
        <v>51</v>
      </c>
      <c r="B88" s="12" t="s">
        <v>16</v>
      </c>
      <c r="C88" s="13">
        <v>1335.0</v>
      </c>
      <c r="D88" s="11" t="s">
        <v>14</v>
      </c>
      <c r="E88" s="14">
        <v>45778.0</v>
      </c>
      <c r="F88" s="15" t="str">
        <f t="shared" si="1"/>
        <v>Преміум</v>
      </c>
      <c r="J88" s="18"/>
      <c r="O88" s="18" t="s">
        <v>53</v>
      </c>
      <c r="P88" s="15" t="s">
        <v>16</v>
      </c>
      <c r="Q88" s="19">
        <v>450.0</v>
      </c>
      <c r="R88" s="15" t="s">
        <v>23</v>
      </c>
      <c r="S88" s="20">
        <v>45774.0</v>
      </c>
    </row>
    <row r="89">
      <c r="A89" s="11" t="s">
        <v>18</v>
      </c>
      <c r="B89" s="12" t="s">
        <v>13</v>
      </c>
      <c r="C89" s="13">
        <v>1785.0</v>
      </c>
      <c r="D89" s="11" t="s">
        <v>14</v>
      </c>
      <c r="E89" s="14">
        <v>45763.0</v>
      </c>
      <c r="F89" s="15" t="str">
        <f t="shared" si="1"/>
        <v>Преміум</v>
      </c>
      <c r="J89" s="18"/>
      <c r="O89" s="18" t="s">
        <v>34</v>
      </c>
      <c r="P89" s="15" t="s">
        <v>16</v>
      </c>
      <c r="Q89" s="19">
        <v>449.0</v>
      </c>
      <c r="R89" s="15" t="s">
        <v>21</v>
      </c>
      <c r="S89" s="20">
        <v>45778.0</v>
      </c>
    </row>
    <row r="90">
      <c r="A90" s="11" t="s">
        <v>38</v>
      </c>
      <c r="B90" s="12" t="s">
        <v>20</v>
      </c>
      <c r="C90" s="13">
        <v>1480.0</v>
      </c>
      <c r="D90" s="11" t="s">
        <v>14</v>
      </c>
      <c r="E90" s="14">
        <v>45748.0</v>
      </c>
      <c r="F90" s="15" t="str">
        <f t="shared" si="1"/>
        <v>Преміум</v>
      </c>
      <c r="J90" s="18"/>
      <c r="O90" s="18" t="s">
        <v>54</v>
      </c>
      <c r="P90" s="15" t="s">
        <v>20</v>
      </c>
      <c r="Q90" s="19">
        <v>439.0</v>
      </c>
      <c r="R90" s="15" t="s">
        <v>14</v>
      </c>
      <c r="S90" s="20">
        <v>45776.0</v>
      </c>
    </row>
    <row r="91">
      <c r="A91" s="11" t="s">
        <v>31</v>
      </c>
      <c r="B91" s="12" t="s">
        <v>13</v>
      </c>
      <c r="C91" s="13">
        <v>1042.0</v>
      </c>
      <c r="D91" s="11" t="s">
        <v>23</v>
      </c>
      <c r="E91" s="14">
        <v>45756.0</v>
      </c>
      <c r="F91" s="15" t="str">
        <f t="shared" si="1"/>
        <v>Преміум</v>
      </c>
      <c r="J91" s="18"/>
      <c r="O91" s="18" t="s">
        <v>31</v>
      </c>
      <c r="P91" s="15" t="s">
        <v>13</v>
      </c>
      <c r="Q91" s="19">
        <v>438.0</v>
      </c>
      <c r="R91" s="15" t="s">
        <v>21</v>
      </c>
      <c r="S91" s="20">
        <v>45771.0</v>
      </c>
    </row>
    <row r="92">
      <c r="A92" s="11" t="s">
        <v>24</v>
      </c>
      <c r="B92" s="12" t="s">
        <v>20</v>
      </c>
      <c r="C92" s="13">
        <v>815.0</v>
      </c>
      <c r="D92" s="11" t="s">
        <v>14</v>
      </c>
      <c r="E92" s="14">
        <v>45751.0</v>
      </c>
      <c r="F92" s="15" t="str">
        <f t="shared" si="1"/>
        <v>Звичайний</v>
      </c>
      <c r="J92" s="18"/>
      <c r="O92" s="18" t="s">
        <v>22</v>
      </c>
      <c r="P92" s="15" t="s">
        <v>13</v>
      </c>
      <c r="Q92" s="19">
        <v>433.0</v>
      </c>
      <c r="R92" s="15" t="s">
        <v>14</v>
      </c>
      <c r="S92" s="20">
        <v>45753.0</v>
      </c>
    </row>
    <row r="93">
      <c r="A93" s="11" t="s">
        <v>42</v>
      </c>
      <c r="B93" s="12" t="s">
        <v>13</v>
      </c>
      <c r="C93" s="13">
        <v>553.0</v>
      </c>
      <c r="D93" s="11" t="s">
        <v>21</v>
      </c>
      <c r="E93" s="14">
        <v>45762.0</v>
      </c>
      <c r="F93" s="15" t="str">
        <f t="shared" si="1"/>
        <v>Звичайний</v>
      </c>
      <c r="J93" s="18"/>
      <c r="O93" s="18" t="s">
        <v>33</v>
      </c>
      <c r="P93" s="15" t="s">
        <v>16</v>
      </c>
      <c r="Q93" s="19">
        <v>415.0</v>
      </c>
      <c r="R93" s="15" t="s">
        <v>14</v>
      </c>
      <c r="S93" s="20">
        <v>45770.0</v>
      </c>
    </row>
    <row r="94">
      <c r="A94" s="11" t="s">
        <v>35</v>
      </c>
      <c r="B94" s="12" t="s">
        <v>16</v>
      </c>
      <c r="C94" s="13">
        <v>1365.0</v>
      </c>
      <c r="D94" s="11" t="s">
        <v>14</v>
      </c>
      <c r="E94" s="14">
        <v>45748.0</v>
      </c>
      <c r="F94" s="15" t="str">
        <f t="shared" si="1"/>
        <v>Преміум</v>
      </c>
      <c r="J94" s="18"/>
      <c r="O94" s="18" t="s">
        <v>34</v>
      </c>
      <c r="P94" s="15" t="s">
        <v>20</v>
      </c>
      <c r="Q94" s="19">
        <v>387.0</v>
      </c>
      <c r="R94" s="15" t="s">
        <v>17</v>
      </c>
      <c r="S94" s="20">
        <v>45768.0</v>
      </c>
    </row>
    <row r="95">
      <c r="A95" s="11" t="s">
        <v>52</v>
      </c>
      <c r="B95" s="12" t="s">
        <v>13</v>
      </c>
      <c r="C95" s="13">
        <v>1325.0</v>
      </c>
      <c r="D95" s="11" t="s">
        <v>23</v>
      </c>
      <c r="E95" s="14">
        <v>45761.0</v>
      </c>
      <c r="F95" s="15" t="str">
        <f t="shared" si="1"/>
        <v>Преміум</v>
      </c>
      <c r="J95" s="18"/>
      <c r="O95" s="18" t="s">
        <v>24</v>
      </c>
      <c r="P95" s="15" t="s">
        <v>20</v>
      </c>
      <c r="Q95" s="19">
        <v>362.0</v>
      </c>
      <c r="R95" s="15" t="s">
        <v>21</v>
      </c>
      <c r="S95" s="20">
        <v>45758.0</v>
      </c>
    </row>
    <row r="96">
      <c r="A96" s="11" t="s">
        <v>57</v>
      </c>
      <c r="B96" s="12" t="s">
        <v>13</v>
      </c>
      <c r="C96" s="13">
        <v>940.0</v>
      </c>
      <c r="D96" s="11" t="s">
        <v>17</v>
      </c>
      <c r="E96" s="14">
        <v>45763.0</v>
      </c>
      <c r="F96" s="15" t="str">
        <f t="shared" si="1"/>
        <v>Звичайний</v>
      </c>
      <c r="J96" s="18"/>
      <c r="O96" s="18" t="s">
        <v>36</v>
      </c>
      <c r="P96" s="15" t="s">
        <v>20</v>
      </c>
      <c r="Q96" s="19">
        <v>301.0</v>
      </c>
      <c r="R96" s="15" t="s">
        <v>17</v>
      </c>
      <c r="S96" s="20">
        <v>45755.0</v>
      </c>
    </row>
    <row r="97">
      <c r="A97" s="11" t="s">
        <v>28</v>
      </c>
      <c r="B97" s="12" t="s">
        <v>13</v>
      </c>
      <c r="C97" s="13">
        <v>1083.0</v>
      </c>
      <c r="D97" s="11" t="s">
        <v>23</v>
      </c>
      <c r="E97" s="14">
        <v>45756.0</v>
      </c>
      <c r="F97" s="15" t="str">
        <f t="shared" si="1"/>
        <v>Преміум</v>
      </c>
      <c r="J97" s="18"/>
      <c r="O97" s="18" t="s">
        <v>48</v>
      </c>
      <c r="P97" s="15" t="s">
        <v>13</v>
      </c>
      <c r="Q97" s="19">
        <v>296.0</v>
      </c>
      <c r="R97" s="15" t="s">
        <v>21</v>
      </c>
      <c r="S97" s="20">
        <v>45752.0</v>
      </c>
    </row>
    <row r="98">
      <c r="A98" s="11" t="s">
        <v>15</v>
      </c>
      <c r="B98" s="12" t="s">
        <v>13</v>
      </c>
      <c r="C98" s="13">
        <v>528.0</v>
      </c>
      <c r="D98" s="11" t="s">
        <v>14</v>
      </c>
      <c r="E98" s="14">
        <v>45768.0</v>
      </c>
      <c r="F98" s="15" t="str">
        <f t="shared" si="1"/>
        <v>Звичайний</v>
      </c>
      <c r="J98" s="18"/>
      <c r="O98" s="18" t="s">
        <v>59</v>
      </c>
      <c r="P98" s="15" t="s">
        <v>13</v>
      </c>
      <c r="Q98" s="19">
        <v>283.0</v>
      </c>
      <c r="R98" s="15" t="s">
        <v>17</v>
      </c>
      <c r="S98" s="20">
        <v>45776.0</v>
      </c>
    </row>
    <row r="99">
      <c r="A99" s="11" t="s">
        <v>18</v>
      </c>
      <c r="B99" s="12" t="s">
        <v>16</v>
      </c>
      <c r="C99" s="13">
        <v>1278.0</v>
      </c>
      <c r="D99" s="11" t="s">
        <v>17</v>
      </c>
      <c r="E99" s="14">
        <v>45775.0</v>
      </c>
      <c r="F99" s="15" t="str">
        <f t="shared" si="1"/>
        <v>Преміум</v>
      </c>
      <c r="J99" s="18"/>
      <c r="O99" s="18" t="s">
        <v>26</v>
      </c>
      <c r="P99" s="15" t="s">
        <v>16</v>
      </c>
      <c r="Q99" s="19">
        <v>281.0</v>
      </c>
      <c r="R99" s="15" t="s">
        <v>23</v>
      </c>
      <c r="S99" s="20">
        <v>45755.0</v>
      </c>
    </row>
    <row r="100">
      <c r="A100" s="11" t="s">
        <v>59</v>
      </c>
      <c r="B100" s="12" t="s">
        <v>16</v>
      </c>
      <c r="C100" s="13">
        <v>463.0</v>
      </c>
      <c r="D100" s="11" t="s">
        <v>21</v>
      </c>
      <c r="E100" s="14">
        <v>45769.0</v>
      </c>
      <c r="F100" s="15" t="str">
        <f t="shared" si="1"/>
        <v>Звичайний</v>
      </c>
      <c r="J100" s="18"/>
      <c r="O100" s="18" t="s">
        <v>24</v>
      </c>
      <c r="P100" s="15" t="s">
        <v>16</v>
      </c>
      <c r="Q100" s="19">
        <v>280.0</v>
      </c>
      <c r="R100" s="15" t="s">
        <v>14</v>
      </c>
      <c r="S100" s="20">
        <v>45776.0</v>
      </c>
    </row>
    <row r="101">
      <c r="A101" s="11" t="s">
        <v>48</v>
      </c>
      <c r="B101" s="12" t="s">
        <v>13</v>
      </c>
      <c r="C101" s="13">
        <v>296.0</v>
      </c>
      <c r="D101" s="11" t="s">
        <v>21</v>
      </c>
      <c r="E101" s="14">
        <v>45752.0</v>
      </c>
      <c r="F101" s="15" t="str">
        <f t="shared" si="1"/>
        <v>Звичайний</v>
      </c>
      <c r="J101" s="18"/>
      <c r="O101" s="18" t="s">
        <v>54</v>
      </c>
      <c r="P101" s="15" t="s">
        <v>16</v>
      </c>
      <c r="Q101" s="19">
        <v>210.0</v>
      </c>
      <c r="R101" s="15" t="s">
        <v>17</v>
      </c>
      <c r="S101" s="20">
        <v>45751.0</v>
      </c>
    </row>
    <row r="102">
      <c r="B102" s="21"/>
      <c r="C102" s="19"/>
      <c r="E102" s="20"/>
    </row>
    <row r="103">
      <c r="B103" s="21"/>
      <c r="C103" s="19"/>
      <c r="E103" s="20"/>
    </row>
    <row r="104">
      <c r="B104" s="21"/>
      <c r="C104" s="19"/>
      <c r="E104" s="20"/>
    </row>
    <row r="105">
      <c r="B105" s="21"/>
      <c r="C105" s="19"/>
      <c r="E105" s="20"/>
    </row>
    <row r="106">
      <c r="B106" s="21"/>
      <c r="C106" s="19"/>
      <c r="E106" s="20"/>
    </row>
    <row r="107">
      <c r="B107" s="21"/>
      <c r="C107" s="19"/>
      <c r="E107" s="20"/>
    </row>
    <row r="108">
      <c r="B108" s="21"/>
      <c r="C108" s="19"/>
      <c r="E108" s="20"/>
    </row>
    <row r="109">
      <c r="B109" s="21"/>
      <c r="C109" s="19"/>
      <c r="E109" s="20"/>
    </row>
    <row r="110">
      <c r="B110" s="21"/>
      <c r="C110" s="19"/>
      <c r="E110" s="20"/>
    </row>
    <row r="111">
      <c r="B111" s="21"/>
      <c r="C111" s="19"/>
      <c r="E111" s="20"/>
    </row>
    <row r="112">
      <c r="B112" s="21"/>
      <c r="C112" s="19"/>
      <c r="E112" s="20"/>
    </row>
    <row r="113">
      <c r="B113" s="21"/>
      <c r="C113" s="19"/>
      <c r="E113" s="20"/>
    </row>
    <row r="114">
      <c r="B114" s="21"/>
      <c r="C114" s="19"/>
      <c r="E114" s="20"/>
    </row>
    <row r="115">
      <c r="B115" s="21"/>
      <c r="C115" s="19"/>
      <c r="E115" s="20"/>
    </row>
    <row r="116">
      <c r="B116" s="21"/>
      <c r="C116" s="19"/>
      <c r="E116" s="20"/>
    </row>
    <row r="117">
      <c r="B117" s="21"/>
      <c r="C117" s="19"/>
      <c r="E117" s="20"/>
    </row>
    <row r="118">
      <c r="B118" s="21"/>
      <c r="C118" s="19"/>
      <c r="E118" s="20"/>
    </row>
    <row r="119">
      <c r="B119" s="21"/>
      <c r="C119" s="19"/>
      <c r="E119" s="20"/>
    </row>
    <row r="120">
      <c r="B120" s="21"/>
      <c r="C120" s="19"/>
      <c r="E120" s="20"/>
    </row>
    <row r="121">
      <c r="B121" s="21"/>
      <c r="C121" s="19"/>
      <c r="E121" s="20"/>
    </row>
    <row r="122">
      <c r="B122" s="21"/>
      <c r="C122" s="19"/>
      <c r="E122" s="20"/>
    </row>
    <row r="123">
      <c r="B123" s="21"/>
      <c r="C123" s="19"/>
      <c r="E123" s="20"/>
    </row>
    <row r="124">
      <c r="B124" s="21"/>
      <c r="C124" s="19"/>
      <c r="E124" s="20"/>
    </row>
    <row r="125">
      <c r="B125" s="21"/>
      <c r="C125" s="19"/>
      <c r="E125" s="20"/>
    </row>
    <row r="126">
      <c r="B126" s="21"/>
      <c r="C126" s="19"/>
      <c r="E126" s="20"/>
    </row>
    <row r="127">
      <c r="B127" s="21"/>
      <c r="C127" s="19"/>
      <c r="E127" s="20"/>
    </row>
    <row r="128">
      <c r="B128" s="21"/>
      <c r="C128" s="19"/>
      <c r="E128" s="20"/>
    </row>
    <row r="129">
      <c r="B129" s="21"/>
      <c r="C129" s="19"/>
      <c r="E129" s="20"/>
    </row>
    <row r="130">
      <c r="B130" s="21"/>
      <c r="C130" s="19"/>
      <c r="E130" s="20"/>
    </row>
    <row r="131">
      <c r="B131" s="21"/>
      <c r="C131" s="19"/>
      <c r="E131" s="20"/>
    </row>
    <row r="132">
      <c r="B132" s="21"/>
      <c r="C132" s="19"/>
      <c r="E132" s="20"/>
    </row>
    <row r="133">
      <c r="B133" s="21"/>
      <c r="C133" s="19"/>
      <c r="E133" s="20"/>
    </row>
    <row r="134">
      <c r="B134" s="21"/>
      <c r="C134" s="19"/>
      <c r="E134" s="20"/>
    </row>
    <row r="135">
      <c r="B135" s="21"/>
      <c r="C135" s="19"/>
      <c r="E135" s="20"/>
    </row>
    <row r="136">
      <c r="B136" s="21"/>
      <c r="C136" s="19"/>
      <c r="E136" s="20"/>
    </row>
    <row r="137">
      <c r="B137" s="21"/>
      <c r="C137" s="19"/>
      <c r="E137" s="20"/>
    </row>
    <row r="138">
      <c r="B138" s="21"/>
      <c r="C138" s="19"/>
      <c r="E138" s="20"/>
    </row>
    <row r="139">
      <c r="B139" s="21"/>
      <c r="C139" s="19"/>
      <c r="E139" s="20"/>
    </row>
    <row r="140">
      <c r="B140" s="21"/>
      <c r="C140" s="19"/>
      <c r="E140" s="20"/>
    </row>
    <row r="141">
      <c r="B141" s="21"/>
      <c r="C141" s="19"/>
      <c r="E141" s="20"/>
    </row>
    <row r="142">
      <c r="B142" s="21"/>
      <c r="C142" s="19"/>
      <c r="E142" s="20"/>
    </row>
    <row r="143">
      <c r="B143" s="21"/>
      <c r="C143" s="19"/>
      <c r="E143" s="20"/>
    </row>
    <row r="144">
      <c r="B144" s="21"/>
      <c r="C144" s="19"/>
      <c r="E144" s="20"/>
    </row>
    <row r="145">
      <c r="B145" s="21"/>
      <c r="C145" s="19"/>
      <c r="E145" s="20"/>
    </row>
    <row r="146">
      <c r="B146" s="21"/>
      <c r="C146" s="19"/>
      <c r="E146" s="20"/>
    </row>
    <row r="147">
      <c r="B147" s="21"/>
      <c r="C147" s="19"/>
      <c r="E147" s="20"/>
    </row>
    <row r="148">
      <c r="B148" s="21"/>
      <c r="C148" s="19"/>
      <c r="E148" s="20"/>
    </row>
    <row r="149">
      <c r="B149" s="21"/>
      <c r="C149" s="19"/>
      <c r="E149" s="20"/>
    </row>
    <row r="150">
      <c r="B150" s="21"/>
      <c r="C150" s="19"/>
      <c r="E150" s="20"/>
    </row>
    <row r="151">
      <c r="B151" s="21"/>
      <c r="C151" s="19"/>
      <c r="E151" s="20"/>
    </row>
    <row r="152">
      <c r="B152" s="21"/>
      <c r="C152" s="19"/>
      <c r="E152" s="20"/>
    </row>
    <row r="153">
      <c r="B153" s="21"/>
      <c r="C153" s="19"/>
      <c r="E153" s="20"/>
    </row>
    <row r="154">
      <c r="B154" s="21"/>
      <c r="C154" s="19"/>
      <c r="E154" s="20"/>
    </row>
    <row r="155">
      <c r="B155" s="21"/>
      <c r="C155" s="19"/>
      <c r="E155" s="20"/>
    </row>
    <row r="156">
      <c r="B156" s="21"/>
      <c r="C156" s="19"/>
      <c r="E156" s="20"/>
    </row>
    <row r="157">
      <c r="B157" s="21"/>
      <c r="C157" s="19"/>
      <c r="E157" s="20"/>
    </row>
    <row r="158">
      <c r="B158" s="21"/>
      <c r="C158" s="19"/>
      <c r="E158" s="20"/>
    </row>
    <row r="159">
      <c r="B159" s="21"/>
      <c r="C159" s="19"/>
      <c r="E159" s="20"/>
    </row>
    <row r="160">
      <c r="B160" s="21"/>
      <c r="C160" s="19"/>
      <c r="E160" s="20"/>
    </row>
    <row r="161">
      <c r="B161" s="21"/>
      <c r="C161" s="19"/>
      <c r="E161" s="20"/>
    </row>
    <row r="162">
      <c r="B162" s="21"/>
      <c r="C162" s="19"/>
      <c r="E162" s="20"/>
    </row>
    <row r="163">
      <c r="B163" s="21"/>
      <c r="C163" s="19"/>
      <c r="E163" s="20"/>
    </row>
    <row r="164">
      <c r="B164" s="21"/>
      <c r="C164" s="19"/>
      <c r="E164" s="20"/>
    </row>
    <row r="165">
      <c r="B165" s="21"/>
      <c r="C165" s="19"/>
      <c r="E165" s="20"/>
    </row>
    <row r="166">
      <c r="B166" s="21"/>
      <c r="C166" s="19"/>
      <c r="E166" s="20"/>
    </row>
    <row r="167">
      <c r="B167" s="21"/>
      <c r="C167" s="19"/>
      <c r="E167" s="20"/>
    </row>
    <row r="168">
      <c r="B168" s="21"/>
      <c r="C168" s="19"/>
      <c r="E168" s="20"/>
    </row>
    <row r="169">
      <c r="B169" s="21"/>
      <c r="C169" s="19"/>
      <c r="E169" s="20"/>
    </row>
    <row r="170">
      <c r="B170" s="21"/>
      <c r="C170" s="19"/>
      <c r="E170" s="20"/>
    </row>
    <row r="171">
      <c r="B171" s="21"/>
      <c r="C171" s="19"/>
      <c r="E171" s="20"/>
    </row>
    <row r="172">
      <c r="B172" s="21"/>
      <c r="C172" s="19"/>
      <c r="E172" s="20"/>
    </row>
    <row r="173">
      <c r="B173" s="21"/>
      <c r="C173" s="19"/>
      <c r="E173" s="20"/>
    </row>
    <row r="174">
      <c r="B174" s="21"/>
      <c r="C174" s="19"/>
      <c r="E174" s="20"/>
    </row>
    <row r="175">
      <c r="B175" s="21"/>
      <c r="C175" s="19"/>
      <c r="E175" s="20"/>
    </row>
    <row r="176">
      <c r="B176" s="21"/>
      <c r="C176" s="19"/>
      <c r="E176" s="20"/>
    </row>
    <row r="177">
      <c r="B177" s="21"/>
      <c r="C177" s="19"/>
      <c r="E177" s="20"/>
    </row>
    <row r="178">
      <c r="B178" s="21"/>
      <c r="C178" s="19"/>
      <c r="E178" s="20"/>
    </row>
    <row r="179">
      <c r="B179" s="21"/>
      <c r="C179" s="19"/>
      <c r="E179" s="20"/>
    </row>
    <row r="180">
      <c r="B180" s="21"/>
      <c r="C180" s="19"/>
      <c r="E180" s="20"/>
    </row>
    <row r="181">
      <c r="B181" s="21"/>
      <c r="C181" s="19"/>
      <c r="E181" s="20"/>
    </row>
    <row r="182">
      <c r="B182" s="21"/>
      <c r="C182" s="19"/>
      <c r="E182" s="20"/>
    </row>
    <row r="183">
      <c r="B183" s="21"/>
      <c r="C183" s="19"/>
      <c r="E183" s="20"/>
    </row>
    <row r="184">
      <c r="B184" s="21"/>
      <c r="C184" s="19"/>
      <c r="E184" s="20"/>
    </row>
    <row r="185">
      <c r="B185" s="21"/>
      <c r="C185" s="19"/>
      <c r="E185" s="20"/>
    </row>
    <row r="186">
      <c r="B186" s="21"/>
      <c r="C186" s="19"/>
      <c r="E186" s="20"/>
    </row>
    <row r="187">
      <c r="B187" s="21"/>
      <c r="C187" s="19"/>
      <c r="E187" s="20"/>
    </row>
    <row r="188">
      <c r="B188" s="21"/>
      <c r="C188" s="19"/>
      <c r="E188" s="20"/>
    </row>
    <row r="189">
      <c r="B189" s="21"/>
      <c r="C189" s="19"/>
      <c r="E189" s="20"/>
    </row>
    <row r="190">
      <c r="B190" s="21"/>
      <c r="C190" s="19"/>
      <c r="E190" s="20"/>
    </row>
    <row r="191">
      <c r="B191" s="21"/>
      <c r="C191" s="19"/>
      <c r="E191" s="20"/>
    </row>
    <row r="192">
      <c r="B192" s="21"/>
      <c r="C192" s="19"/>
      <c r="E192" s="20"/>
    </row>
    <row r="193">
      <c r="B193" s="21"/>
      <c r="C193" s="19"/>
      <c r="E193" s="20"/>
    </row>
    <row r="194">
      <c r="B194" s="21"/>
      <c r="C194" s="19"/>
      <c r="E194" s="20"/>
    </row>
    <row r="195">
      <c r="B195" s="21"/>
      <c r="C195" s="19"/>
      <c r="E195" s="20"/>
    </row>
    <row r="196">
      <c r="B196" s="21"/>
      <c r="C196" s="19"/>
      <c r="E196" s="20"/>
    </row>
    <row r="197">
      <c r="B197" s="21"/>
      <c r="C197" s="19"/>
      <c r="E197" s="20"/>
    </row>
    <row r="198">
      <c r="B198" s="21"/>
      <c r="C198" s="19"/>
      <c r="E198" s="20"/>
    </row>
    <row r="199">
      <c r="B199" s="21"/>
      <c r="C199" s="19"/>
      <c r="E199" s="20"/>
    </row>
    <row r="200">
      <c r="B200" s="21"/>
      <c r="C200" s="19"/>
      <c r="E200" s="20"/>
    </row>
    <row r="201">
      <c r="B201" s="21"/>
      <c r="C201" s="19"/>
      <c r="E201" s="20"/>
    </row>
    <row r="202">
      <c r="B202" s="21"/>
      <c r="C202" s="19"/>
      <c r="E202" s="20"/>
    </row>
    <row r="203">
      <c r="B203" s="21"/>
      <c r="C203" s="19"/>
      <c r="E203" s="20"/>
    </row>
    <row r="204">
      <c r="B204" s="21"/>
      <c r="C204" s="19"/>
      <c r="E204" s="20"/>
    </row>
    <row r="205">
      <c r="B205" s="21"/>
      <c r="C205" s="19"/>
      <c r="E205" s="20"/>
    </row>
    <row r="206">
      <c r="B206" s="21"/>
      <c r="C206" s="19"/>
      <c r="E206" s="20"/>
    </row>
    <row r="207">
      <c r="B207" s="21"/>
      <c r="C207" s="19"/>
      <c r="E207" s="20"/>
    </row>
    <row r="208">
      <c r="B208" s="21"/>
      <c r="C208" s="19"/>
      <c r="E208" s="20"/>
    </row>
    <row r="209">
      <c r="B209" s="21"/>
      <c r="C209" s="19"/>
      <c r="E209" s="20"/>
    </row>
    <row r="210">
      <c r="B210" s="21"/>
      <c r="C210" s="19"/>
      <c r="E210" s="20"/>
    </row>
    <row r="211">
      <c r="B211" s="21"/>
      <c r="C211" s="19"/>
      <c r="E211" s="20"/>
    </row>
    <row r="212">
      <c r="B212" s="21"/>
      <c r="C212" s="19"/>
      <c r="E212" s="20"/>
    </row>
    <row r="213">
      <c r="B213" s="21"/>
      <c r="C213" s="19"/>
      <c r="E213" s="20"/>
    </row>
    <row r="214">
      <c r="B214" s="21"/>
      <c r="C214" s="19"/>
      <c r="E214" s="20"/>
    </row>
    <row r="215">
      <c r="B215" s="21"/>
      <c r="C215" s="19"/>
      <c r="E215" s="20"/>
    </row>
    <row r="216">
      <c r="B216" s="21"/>
      <c r="C216" s="19"/>
      <c r="E216" s="20"/>
    </row>
    <row r="217">
      <c r="B217" s="21"/>
      <c r="C217" s="19"/>
      <c r="E217" s="20"/>
    </row>
    <row r="218">
      <c r="B218" s="21"/>
      <c r="C218" s="19"/>
      <c r="E218" s="20"/>
    </row>
    <row r="219">
      <c r="B219" s="21"/>
      <c r="C219" s="19"/>
      <c r="E219" s="20"/>
    </row>
    <row r="220">
      <c r="B220" s="21"/>
      <c r="C220" s="19"/>
      <c r="E220" s="20"/>
    </row>
    <row r="221">
      <c r="B221" s="21"/>
      <c r="C221" s="19"/>
      <c r="E221" s="20"/>
    </row>
    <row r="222">
      <c r="B222" s="21"/>
      <c r="C222" s="19"/>
      <c r="E222" s="20"/>
    </row>
    <row r="223">
      <c r="B223" s="21"/>
      <c r="C223" s="19"/>
      <c r="E223" s="20"/>
    </row>
    <row r="224">
      <c r="B224" s="21"/>
      <c r="C224" s="19"/>
      <c r="E224" s="20"/>
    </row>
    <row r="225">
      <c r="B225" s="21"/>
      <c r="C225" s="19"/>
      <c r="E225" s="20"/>
    </row>
    <row r="226">
      <c r="B226" s="21"/>
      <c r="C226" s="19"/>
      <c r="E226" s="20"/>
    </row>
    <row r="227">
      <c r="B227" s="21"/>
      <c r="C227" s="19"/>
      <c r="E227" s="20"/>
    </row>
    <row r="228">
      <c r="B228" s="21"/>
      <c r="C228" s="19"/>
      <c r="E228" s="20"/>
    </row>
    <row r="229">
      <c r="B229" s="21"/>
      <c r="C229" s="19"/>
      <c r="E229" s="20"/>
    </row>
    <row r="230">
      <c r="B230" s="21"/>
      <c r="C230" s="19"/>
      <c r="E230" s="20"/>
    </row>
    <row r="231">
      <c r="B231" s="21"/>
      <c r="C231" s="19"/>
      <c r="E231" s="20"/>
    </row>
    <row r="232">
      <c r="B232" s="21"/>
      <c r="C232" s="19"/>
      <c r="E232" s="20"/>
    </row>
    <row r="233">
      <c r="B233" s="21"/>
      <c r="C233" s="19"/>
      <c r="E233" s="20"/>
    </row>
    <row r="234">
      <c r="B234" s="21"/>
      <c r="C234" s="19"/>
      <c r="E234" s="20"/>
    </row>
    <row r="235">
      <c r="B235" s="21"/>
      <c r="C235" s="19"/>
      <c r="E235" s="20"/>
    </row>
    <row r="236">
      <c r="B236" s="21"/>
      <c r="C236" s="19"/>
      <c r="E236" s="20"/>
    </row>
    <row r="237">
      <c r="B237" s="21"/>
      <c r="C237" s="19"/>
      <c r="E237" s="20"/>
    </row>
    <row r="238">
      <c r="B238" s="21"/>
      <c r="C238" s="19"/>
      <c r="E238" s="20"/>
    </row>
    <row r="239">
      <c r="B239" s="21"/>
      <c r="C239" s="19"/>
      <c r="E239" s="20"/>
    </row>
    <row r="240">
      <c r="B240" s="21"/>
      <c r="C240" s="19"/>
      <c r="E240" s="20"/>
    </row>
    <row r="241">
      <c r="B241" s="21"/>
      <c r="C241" s="19"/>
      <c r="E241" s="20"/>
    </row>
    <row r="242">
      <c r="B242" s="21"/>
      <c r="C242" s="19"/>
      <c r="E242" s="20"/>
    </row>
    <row r="243">
      <c r="B243" s="21"/>
      <c r="C243" s="19"/>
      <c r="E243" s="20"/>
    </row>
    <row r="244">
      <c r="B244" s="21"/>
      <c r="C244" s="19"/>
      <c r="E244" s="20"/>
    </row>
    <row r="245">
      <c r="B245" s="21"/>
      <c r="C245" s="19"/>
      <c r="E245" s="20"/>
    </row>
    <row r="246">
      <c r="B246" s="21"/>
      <c r="C246" s="19"/>
      <c r="E246" s="20"/>
    </row>
    <row r="247">
      <c r="B247" s="21"/>
      <c r="C247" s="19"/>
      <c r="E247" s="20"/>
    </row>
    <row r="248">
      <c r="B248" s="21"/>
      <c r="C248" s="19"/>
      <c r="E248" s="20"/>
    </row>
    <row r="249">
      <c r="B249" s="21"/>
      <c r="C249" s="19"/>
      <c r="E249" s="20"/>
    </row>
    <row r="250">
      <c r="B250" s="21"/>
      <c r="C250" s="19"/>
      <c r="E250" s="20"/>
    </row>
    <row r="251">
      <c r="B251" s="21"/>
      <c r="C251" s="19"/>
      <c r="E251" s="20"/>
    </row>
    <row r="252">
      <c r="B252" s="21"/>
      <c r="C252" s="19"/>
      <c r="E252" s="20"/>
    </row>
    <row r="253">
      <c r="B253" s="21"/>
      <c r="C253" s="19"/>
      <c r="E253" s="20"/>
    </row>
    <row r="254">
      <c r="B254" s="21"/>
      <c r="C254" s="19"/>
      <c r="E254" s="20"/>
    </row>
    <row r="255">
      <c r="B255" s="21"/>
      <c r="C255" s="19"/>
      <c r="E255" s="20"/>
    </row>
    <row r="256">
      <c r="B256" s="21"/>
      <c r="C256" s="19"/>
      <c r="E256" s="20"/>
    </row>
    <row r="257">
      <c r="B257" s="21"/>
      <c r="C257" s="19"/>
      <c r="E257" s="20"/>
    </row>
    <row r="258">
      <c r="B258" s="21"/>
      <c r="C258" s="19"/>
      <c r="E258" s="20"/>
    </row>
    <row r="259">
      <c r="B259" s="21"/>
      <c r="C259" s="19"/>
      <c r="E259" s="20"/>
    </row>
    <row r="260">
      <c r="B260" s="21"/>
      <c r="C260" s="19"/>
      <c r="E260" s="20"/>
    </row>
    <row r="261">
      <c r="B261" s="21"/>
      <c r="C261" s="19"/>
      <c r="E261" s="20"/>
    </row>
    <row r="262">
      <c r="B262" s="21"/>
      <c r="C262" s="19"/>
      <c r="E262" s="20"/>
    </row>
    <row r="263">
      <c r="B263" s="21"/>
      <c r="C263" s="19"/>
      <c r="E263" s="20"/>
    </row>
    <row r="264">
      <c r="B264" s="21"/>
      <c r="C264" s="19"/>
      <c r="E264" s="20"/>
    </row>
    <row r="265">
      <c r="B265" s="21"/>
      <c r="C265" s="19"/>
      <c r="E265" s="20"/>
    </row>
    <row r="266">
      <c r="B266" s="21"/>
      <c r="C266" s="19"/>
      <c r="E266" s="20"/>
    </row>
    <row r="267">
      <c r="B267" s="21"/>
      <c r="C267" s="19"/>
      <c r="E267" s="20"/>
    </row>
    <row r="268">
      <c r="B268" s="21"/>
      <c r="C268" s="19"/>
      <c r="E268" s="20"/>
    </row>
    <row r="269">
      <c r="B269" s="21"/>
      <c r="C269" s="19"/>
      <c r="E269" s="20"/>
    </row>
    <row r="270">
      <c r="B270" s="21"/>
      <c r="C270" s="19"/>
      <c r="E270" s="20"/>
    </row>
    <row r="271">
      <c r="B271" s="21"/>
      <c r="C271" s="19"/>
      <c r="E271" s="20"/>
    </row>
    <row r="272">
      <c r="B272" s="21"/>
      <c r="C272" s="19"/>
      <c r="E272" s="20"/>
    </row>
    <row r="273">
      <c r="B273" s="21"/>
      <c r="C273" s="19"/>
      <c r="E273" s="20"/>
    </row>
    <row r="274">
      <c r="B274" s="21"/>
      <c r="C274" s="19"/>
      <c r="E274" s="20"/>
    </row>
    <row r="275">
      <c r="B275" s="21"/>
      <c r="C275" s="19"/>
      <c r="E275" s="20"/>
    </row>
    <row r="276">
      <c r="B276" s="21"/>
      <c r="C276" s="19"/>
      <c r="E276" s="20"/>
    </row>
    <row r="277">
      <c r="B277" s="21"/>
      <c r="C277" s="19"/>
      <c r="E277" s="20"/>
    </row>
    <row r="278">
      <c r="B278" s="21"/>
      <c r="C278" s="19"/>
      <c r="E278" s="20"/>
    </row>
    <row r="279">
      <c r="B279" s="21"/>
      <c r="C279" s="19"/>
      <c r="E279" s="20"/>
    </row>
    <row r="280">
      <c r="B280" s="21"/>
      <c r="C280" s="19"/>
      <c r="E280" s="20"/>
    </row>
    <row r="281">
      <c r="B281" s="21"/>
      <c r="C281" s="19"/>
      <c r="E281" s="20"/>
    </row>
    <row r="282">
      <c r="B282" s="21"/>
      <c r="C282" s="19"/>
      <c r="E282" s="20"/>
    </row>
    <row r="283">
      <c r="B283" s="21"/>
      <c r="C283" s="19"/>
      <c r="E283" s="20"/>
    </row>
    <row r="284">
      <c r="B284" s="21"/>
      <c r="C284" s="19"/>
      <c r="E284" s="20"/>
    </row>
    <row r="285">
      <c r="B285" s="21"/>
      <c r="C285" s="19"/>
      <c r="E285" s="20"/>
    </row>
    <row r="286">
      <c r="B286" s="21"/>
      <c r="C286" s="19"/>
      <c r="E286" s="20"/>
    </row>
    <row r="287">
      <c r="B287" s="21"/>
      <c r="C287" s="19"/>
      <c r="E287" s="20"/>
    </row>
    <row r="288">
      <c r="B288" s="21"/>
      <c r="C288" s="19"/>
      <c r="E288" s="20"/>
    </row>
    <row r="289">
      <c r="B289" s="21"/>
      <c r="C289" s="19"/>
      <c r="E289" s="20"/>
    </row>
    <row r="290">
      <c r="B290" s="21"/>
      <c r="C290" s="19"/>
      <c r="E290" s="20"/>
    </row>
    <row r="291">
      <c r="B291" s="21"/>
      <c r="C291" s="19"/>
      <c r="E291" s="20"/>
    </row>
    <row r="292">
      <c r="B292" s="21"/>
      <c r="C292" s="19"/>
      <c r="E292" s="20"/>
    </row>
    <row r="293">
      <c r="B293" s="21"/>
      <c r="C293" s="19"/>
      <c r="E293" s="20"/>
    </row>
    <row r="294">
      <c r="B294" s="21"/>
      <c r="C294" s="19"/>
      <c r="E294" s="20"/>
    </row>
    <row r="295">
      <c r="B295" s="21"/>
      <c r="C295" s="19"/>
      <c r="E295" s="20"/>
    </row>
    <row r="296">
      <c r="B296" s="21"/>
      <c r="C296" s="19"/>
      <c r="E296" s="20"/>
    </row>
    <row r="297">
      <c r="B297" s="21"/>
      <c r="C297" s="19"/>
      <c r="E297" s="20"/>
    </row>
    <row r="298">
      <c r="B298" s="21"/>
      <c r="C298" s="19"/>
      <c r="E298" s="20"/>
    </row>
    <row r="299">
      <c r="B299" s="21"/>
      <c r="C299" s="19"/>
      <c r="E299" s="20"/>
    </row>
    <row r="300">
      <c r="B300" s="21"/>
      <c r="C300" s="19"/>
      <c r="E300" s="20"/>
    </row>
    <row r="301">
      <c r="B301" s="21"/>
      <c r="C301" s="19"/>
      <c r="E301" s="20"/>
    </row>
    <row r="302">
      <c r="B302" s="21"/>
      <c r="C302" s="19"/>
      <c r="E302" s="20"/>
    </row>
    <row r="303">
      <c r="B303" s="21"/>
      <c r="C303" s="19"/>
      <c r="E303" s="20"/>
    </row>
    <row r="304">
      <c r="B304" s="21"/>
      <c r="C304" s="19"/>
      <c r="E304" s="20"/>
    </row>
    <row r="305">
      <c r="B305" s="21"/>
      <c r="C305" s="19"/>
      <c r="E305" s="20"/>
    </row>
    <row r="306">
      <c r="B306" s="21"/>
      <c r="C306" s="19"/>
      <c r="E306" s="20"/>
    </row>
    <row r="307">
      <c r="B307" s="21"/>
      <c r="C307" s="19"/>
      <c r="E307" s="20"/>
    </row>
    <row r="308">
      <c r="B308" s="21"/>
      <c r="C308" s="19"/>
      <c r="E308" s="20"/>
    </row>
    <row r="309">
      <c r="B309" s="21"/>
      <c r="C309" s="19"/>
      <c r="E309" s="20"/>
    </row>
    <row r="310">
      <c r="B310" s="21"/>
      <c r="C310" s="19"/>
      <c r="E310" s="20"/>
    </row>
    <row r="311">
      <c r="B311" s="21"/>
      <c r="C311" s="19"/>
      <c r="E311" s="20"/>
    </row>
    <row r="312">
      <c r="B312" s="21"/>
      <c r="C312" s="19"/>
      <c r="E312" s="20"/>
    </row>
    <row r="313">
      <c r="B313" s="21"/>
      <c r="C313" s="19"/>
      <c r="E313" s="20"/>
    </row>
    <row r="314">
      <c r="B314" s="21"/>
      <c r="C314" s="19"/>
      <c r="E314" s="20"/>
    </row>
    <row r="315">
      <c r="B315" s="21"/>
      <c r="C315" s="19"/>
      <c r="E315" s="20"/>
    </row>
    <row r="316">
      <c r="B316" s="21"/>
      <c r="C316" s="19"/>
      <c r="E316" s="20"/>
    </row>
    <row r="317">
      <c r="B317" s="21"/>
      <c r="C317" s="19"/>
      <c r="E317" s="20"/>
    </row>
    <row r="318">
      <c r="B318" s="21"/>
      <c r="C318" s="19"/>
      <c r="E318" s="20"/>
    </row>
    <row r="319">
      <c r="B319" s="21"/>
      <c r="C319" s="19"/>
      <c r="E319" s="20"/>
    </row>
    <row r="320">
      <c r="B320" s="21"/>
      <c r="C320" s="19"/>
      <c r="E320" s="20"/>
    </row>
    <row r="321">
      <c r="B321" s="21"/>
      <c r="C321" s="19"/>
      <c r="E321" s="20"/>
    </row>
    <row r="322">
      <c r="B322" s="21"/>
      <c r="C322" s="19"/>
      <c r="E322" s="20"/>
    </row>
    <row r="323">
      <c r="B323" s="21"/>
      <c r="C323" s="19"/>
      <c r="E323" s="20"/>
    </row>
    <row r="324">
      <c r="B324" s="21"/>
      <c r="C324" s="19"/>
      <c r="E324" s="20"/>
    </row>
    <row r="325">
      <c r="B325" s="21"/>
      <c r="C325" s="19"/>
      <c r="E325" s="20"/>
    </row>
    <row r="326">
      <c r="B326" s="21"/>
      <c r="C326" s="19"/>
      <c r="E326" s="20"/>
    </row>
    <row r="327">
      <c r="B327" s="21"/>
      <c r="C327" s="19"/>
      <c r="E327" s="20"/>
    </row>
    <row r="328">
      <c r="B328" s="21"/>
      <c r="C328" s="19"/>
      <c r="E328" s="20"/>
    </row>
    <row r="329">
      <c r="B329" s="21"/>
      <c r="C329" s="19"/>
      <c r="E329" s="20"/>
    </row>
    <row r="330">
      <c r="B330" s="21"/>
      <c r="C330" s="19"/>
      <c r="E330" s="20"/>
    </row>
    <row r="331">
      <c r="B331" s="21"/>
      <c r="C331" s="19"/>
      <c r="E331" s="20"/>
    </row>
    <row r="332">
      <c r="B332" s="21"/>
      <c r="C332" s="19"/>
      <c r="E332" s="20"/>
    </row>
    <row r="333">
      <c r="B333" s="21"/>
      <c r="C333" s="19"/>
      <c r="E333" s="20"/>
    </row>
    <row r="334">
      <c r="B334" s="21"/>
      <c r="C334" s="19"/>
      <c r="E334" s="20"/>
    </row>
    <row r="335">
      <c r="B335" s="21"/>
      <c r="C335" s="19"/>
      <c r="E335" s="20"/>
    </row>
    <row r="336">
      <c r="B336" s="21"/>
      <c r="C336" s="19"/>
      <c r="E336" s="20"/>
    </row>
    <row r="337">
      <c r="B337" s="21"/>
      <c r="C337" s="19"/>
      <c r="E337" s="20"/>
    </row>
    <row r="338">
      <c r="B338" s="21"/>
      <c r="C338" s="19"/>
      <c r="E338" s="20"/>
    </row>
    <row r="339">
      <c r="B339" s="21"/>
      <c r="C339" s="19"/>
      <c r="E339" s="20"/>
    </row>
    <row r="340">
      <c r="B340" s="21"/>
      <c r="C340" s="19"/>
      <c r="E340" s="20"/>
    </row>
    <row r="341">
      <c r="B341" s="21"/>
      <c r="C341" s="19"/>
      <c r="E341" s="20"/>
    </row>
    <row r="342">
      <c r="B342" s="21"/>
      <c r="C342" s="19"/>
      <c r="E342" s="20"/>
    </row>
    <row r="343">
      <c r="B343" s="21"/>
      <c r="C343" s="19"/>
      <c r="E343" s="20"/>
    </row>
    <row r="344">
      <c r="B344" s="21"/>
      <c r="C344" s="19"/>
      <c r="E344" s="20"/>
    </row>
    <row r="345">
      <c r="B345" s="21"/>
      <c r="C345" s="19"/>
      <c r="E345" s="20"/>
    </row>
    <row r="346">
      <c r="B346" s="21"/>
      <c r="C346" s="19"/>
      <c r="E346" s="20"/>
    </row>
    <row r="347">
      <c r="B347" s="21"/>
      <c r="C347" s="19"/>
      <c r="E347" s="20"/>
    </row>
    <row r="348">
      <c r="B348" s="21"/>
      <c r="C348" s="19"/>
      <c r="E348" s="20"/>
    </row>
    <row r="349">
      <c r="B349" s="21"/>
      <c r="C349" s="19"/>
      <c r="E349" s="20"/>
    </row>
    <row r="350">
      <c r="B350" s="21"/>
      <c r="C350" s="19"/>
      <c r="E350" s="20"/>
    </row>
    <row r="351">
      <c r="B351" s="21"/>
      <c r="C351" s="19"/>
      <c r="E351" s="20"/>
    </row>
    <row r="352">
      <c r="B352" s="21"/>
      <c r="C352" s="19"/>
      <c r="E352" s="20"/>
    </row>
    <row r="353">
      <c r="B353" s="21"/>
      <c r="C353" s="19"/>
      <c r="E353" s="20"/>
    </row>
    <row r="354">
      <c r="B354" s="21"/>
      <c r="C354" s="19"/>
      <c r="E354" s="20"/>
    </row>
    <row r="355">
      <c r="B355" s="21"/>
      <c r="C355" s="19"/>
      <c r="E355" s="20"/>
    </row>
    <row r="356">
      <c r="B356" s="21"/>
      <c r="C356" s="19"/>
      <c r="E356" s="20"/>
    </row>
    <row r="357">
      <c r="B357" s="21"/>
      <c r="C357" s="19"/>
      <c r="E357" s="20"/>
    </row>
    <row r="358">
      <c r="B358" s="21"/>
      <c r="C358" s="19"/>
      <c r="E358" s="20"/>
    </row>
    <row r="359">
      <c r="B359" s="21"/>
      <c r="C359" s="19"/>
      <c r="E359" s="20"/>
    </row>
    <row r="360">
      <c r="B360" s="21"/>
      <c r="C360" s="19"/>
      <c r="E360" s="20"/>
    </row>
    <row r="361">
      <c r="B361" s="21"/>
      <c r="C361" s="19"/>
      <c r="E361" s="20"/>
    </row>
    <row r="362">
      <c r="B362" s="21"/>
      <c r="C362" s="19"/>
      <c r="E362" s="20"/>
    </row>
    <row r="363">
      <c r="B363" s="21"/>
      <c r="C363" s="19"/>
      <c r="E363" s="20"/>
    </row>
    <row r="364">
      <c r="B364" s="21"/>
      <c r="C364" s="19"/>
      <c r="E364" s="20"/>
    </row>
    <row r="365">
      <c r="B365" s="21"/>
      <c r="C365" s="19"/>
      <c r="E365" s="20"/>
    </row>
    <row r="366">
      <c r="B366" s="21"/>
      <c r="C366" s="19"/>
      <c r="E366" s="20"/>
    </row>
    <row r="367">
      <c r="B367" s="21"/>
      <c r="C367" s="19"/>
      <c r="E367" s="20"/>
    </row>
    <row r="368">
      <c r="B368" s="21"/>
      <c r="C368" s="19"/>
      <c r="E368" s="20"/>
    </row>
    <row r="369">
      <c r="B369" s="21"/>
      <c r="C369" s="19"/>
      <c r="E369" s="20"/>
    </row>
    <row r="370">
      <c r="B370" s="21"/>
      <c r="C370" s="19"/>
      <c r="E370" s="20"/>
    </row>
    <row r="371">
      <c r="B371" s="21"/>
      <c r="C371" s="19"/>
      <c r="E371" s="20"/>
    </row>
    <row r="372">
      <c r="B372" s="21"/>
      <c r="C372" s="19"/>
      <c r="E372" s="20"/>
    </row>
    <row r="373">
      <c r="B373" s="21"/>
      <c r="C373" s="19"/>
      <c r="E373" s="20"/>
    </row>
    <row r="374">
      <c r="B374" s="21"/>
      <c r="C374" s="19"/>
      <c r="E374" s="20"/>
    </row>
    <row r="375">
      <c r="B375" s="21"/>
      <c r="C375" s="19"/>
      <c r="E375" s="20"/>
    </row>
    <row r="376">
      <c r="B376" s="21"/>
      <c r="C376" s="19"/>
      <c r="E376" s="20"/>
    </row>
    <row r="377">
      <c r="B377" s="21"/>
      <c r="C377" s="19"/>
      <c r="E377" s="20"/>
    </row>
    <row r="378">
      <c r="B378" s="21"/>
      <c r="C378" s="19"/>
      <c r="E378" s="20"/>
    </row>
    <row r="379">
      <c r="B379" s="21"/>
      <c r="C379" s="19"/>
      <c r="E379" s="20"/>
    </row>
    <row r="380">
      <c r="B380" s="21"/>
      <c r="C380" s="19"/>
      <c r="E380" s="20"/>
    </row>
    <row r="381">
      <c r="B381" s="21"/>
      <c r="C381" s="19"/>
      <c r="E381" s="20"/>
    </row>
    <row r="382">
      <c r="B382" s="21"/>
      <c r="C382" s="19"/>
      <c r="E382" s="20"/>
    </row>
    <row r="383">
      <c r="B383" s="21"/>
      <c r="C383" s="19"/>
      <c r="E383" s="20"/>
    </row>
    <row r="384">
      <c r="B384" s="21"/>
      <c r="C384" s="19"/>
      <c r="E384" s="20"/>
    </row>
    <row r="385">
      <c r="B385" s="21"/>
      <c r="C385" s="19"/>
      <c r="E385" s="20"/>
    </row>
    <row r="386">
      <c r="B386" s="21"/>
      <c r="C386" s="19"/>
      <c r="E386" s="20"/>
    </row>
    <row r="387">
      <c r="B387" s="21"/>
      <c r="C387" s="19"/>
      <c r="E387" s="20"/>
    </row>
    <row r="388">
      <c r="B388" s="21"/>
      <c r="C388" s="19"/>
      <c r="E388" s="20"/>
    </row>
    <row r="389">
      <c r="B389" s="21"/>
      <c r="C389" s="19"/>
      <c r="E389" s="20"/>
    </row>
    <row r="390">
      <c r="B390" s="21"/>
      <c r="C390" s="19"/>
      <c r="E390" s="20"/>
    </row>
    <row r="391">
      <c r="B391" s="21"/>
      <c r="C391" s="19"/>
      <c r="E391" s="20"/>
    </row>
    <row r="392">
      <c r="B392" s="21"/>
      <c r="C392" s="19"/>
      <c r="E392" s="20"/>
    </row>
    <row r="393">
      <c r="B393" s="21"/>
      <c r="C393" s="19"/>
      <c r="E393" s="20"/>
    </row>
    <row r="394">
      <c r="B394" s="21"/>
      <c r="C394" s="19"/>
      <c r="E394" s="20"/>
    </row>
    <row r="395">
      <c r="B395" s="21"/>
      <c r="C395" s="19"/>
      <c r="E395" s="20"/>
    </row>
    <row r="396">
      <c r="B396" s="21"/>
      <c r="C396" s="19"/>
      <c r="E396" s="20"/>
    </row>
    <row r="397">
      <c r="B397" s="21"/>
      <c r="C397" s="19"/>
      <c r="E397" s="20"/>
    </row>
    <row r="398">
      <c r="B398" s="21"/>
      <c r="C398" s="19"/>
      <c r="E398" s="20"/>
    </row>
    <row r="399">
      <c r="B399" s="21"/>
      <c r="C399" s="19"/>
      <c r="E399" s="20"/>
    </row>
    <row r="400">
      <c r="B400" s="21"/>
      <c r="C400" s="19"/>
      <c r="E400" s="20"/>
    </row>
    <row r="401">
      <c r="B401" s="21"/>
      <c r="C401" s="19"/>
      <c r="E401" s="20"/>
    </row>
    <row r="402">
      <c r="B402" s="21"/>
      <c r="C402" s="19"/>
      <c r="E402" s="20"/>
    </row>
    <row r="403">
      <c r="B403" s="21"/>
      <c r="C403" s="19"/>
      <c r="E403" s="20"/>
    </row>
    <row r="404">
      <c r="B404" s="21"/>
      <c r="C404" s="19"/>
      <c r="E404" s="20"/>
    </row>
    <row r="405">
      <c r="B405" s="21"/>
      <c r="C405" s="19"/>
      <c r="E405" s="20"/>
    </row>
    <row r="406">
      <c r="B406" s="21"/>
      <c r="C406" s="19"/>
      <c r="E406" s="20"/>
    </row>
    <row r="407">
      <c r="B407" s="21"/>
      <c r="C407" s="19"/>
      <c r="E407" s="20"/>
    </row>
    <row r="408">
      <c r="B408" s="21"/>
      <c r="C408" s="19"/>
      <c r="E408" s="20"/>
    </row>
    <row r="409">
      <c r="B409" s="21"/>
      <c r="C409" s="19"/>
      <c r="E409" s="20"/>
    </row>
    <row r="410">
      <c r="B410" s="21"/>
      <c r="C410" s="19"/>
      <c r="E410" s="20"/>
    </row>
    <row r="411">
      <c r="B411" s="21"/>
      <c r="C411" s="19"/>
      <c r="E411" s="20"/>
    </row>
    <row r="412">
      <c r="B412" s="21"/>
      <c r="C412" s="19"/>
      <c r="E412" s="20"/>
    </row>
    <row r="413">
      <c r="B413" s="21"/>
      <c r="C413" s="19"/>
      <c r="E413" s="20"/>
    </row>
    <row r="414">
      <c r="B414" s="21"/>
      <c r="C414" s="19"/>
      <c r="E414" s="20"/>
    </row>
    <row r="415">
      <c r="B415" s="21"/>
      <c r="C415" s="19"/>
      <c r="E415" s="20"/>
    </row>
    <row r="416">
      <c r="B416" s="21"/>
      <c r="C416" s="19"/>
      <c r="E416" s="20"/>
    </row>
    <row r="417">
      <c r="B417" s="21"/>
      <c r="C417" s="19"/>
      <c r="E417" s="20"/>
    </row>
    <row r="418">
      <c r="B418" s="21"/>
      <c r="C418" s="19"/>
      <c r="E418" s="20"/>
    </row>
    <row r="419">
      <c r="B419" s="21"/>
      <c r="C419" s="19"/>
      <c r="E419" s="20"/>
    </row>
    <row r="420">
      <c r="B420" s="21"/>
      <c r="C420" s="19"/>
      <c r="E420" s="20"/>
    </row>
    <row r="421">
      <c r="B421" s="21"/>
      <c r="C421" s="19"/>
      <c r="E421" s="20"/>
    </row>
    <row r="422">
      <c r="B422" s="21"/>
      <c r="C422" s="19"/>
      <c r="E422" s="20"/>
    </row>
    <row r="423">
      <c r="B423" s="21"/>
      <c r="C423" s="19"/>
      <c r="E423" s="20"/>
    </row>
    <row r="424">
      <c r="B424" s="21"/>
      <c r="C424" s="19"/>
      <c r="E424" s="20"/>
    </row>
    <row r="425">
      <c r="B425" s="21"/>
      <c r="C425" s="19"/>
      <c r="E425" s="20"/>
    </row>
    <row r="426">
      <c r="B426" s="21"/>
      <c r="C426" s="19"/>
      <c r="E426" s="20"/>
    </row>
    <row r="427">
      <c r="B427" s="21"/>
      <c r="C427" s="19"/>
      <c r="E427" s="20"/>
    </row>
    <row r="428">
      <c r="B428" s="21"/>
      <c r="C428" s="19"/>
      <c r="E428" s="20"/>
    </row>
    <row r="429">
      <c r="B429" s="21"/>
      <c r="C429" s="19"/>
      <c r="E429" s="20"/>
    </row>
    <row r="430">
      <c r="B430" s="21"/>
      <c r="C430" s="19"/>
      <c r="E430" s="20"/>
    </row>
    <row r="431">
      <c r="B431" s="21"/>
      <c r="C431" s="19"/>
      <c r="E431" s="20"/>
    </row>
    <row r="432">
      <c r="B432" s="21"/>
      <c r="C432" s="19"/>
      <c r="E432" s="20"/>
    </row>
    <row r="433">
      <c r="B433" s="21"/>
      <c r="C433" s="19"/>
      <c r="E433" s="20"/>
    </row>
    <row r="434">
      <c r="B434" s="21"/>
      <c r="C434" s="19"/>
      <c r="E434" s="20"/>
    </row>
    <row r="435">
      <c r="B435" s="21"/>
      <c r="C435" s="19"/>
      <c r="E435" s="20"/>
    </row>
    <row r="436">
      <c r="B436" s="21"/>
      <c r="C436" s="19"/>
      <c r="E436" s="20"/>
    </row>
    <row r="437">
      <c r="B437" s="21"/>
      <c r="C437" s="19"/>
      <c r="E437" s="20"/>
    </row>
    <row r="438">
      <c r="B438" s="21"/>
      <c r="C438" s="19"/>
      <c r="E438" s="20"/>
    </row>
    <row r="439">
      <c r="B439" s="21"/>
      <c r="C439" s="19"/>
      <c r="E439" s="20"/>
    </row>
    <row r="440">
      <c r="B440" s="21"/>
      <c r="C440" s="19"/>
      <c r="E440" s="20"/>
    </row>
    <row r="441">
      <c r="B441" s="21"/>
      <c r="C441" s="19"/>
      <c r="E441" s="20"/>
    </row>
    <row r="442">
      <c r="B442" s="21"/>
      <c r="C442" s="19"/>
      <c r="E442" s="20"/>
    </row>
    <row r="443">
      <c r="B443" s="21"/>
      <c r="C443" s="19"/>
      <c r="E443" s="20"/>
    </row>
    <row r="444">
      <c r="B444" s="21"/>
      <c r="C444" s="19"/>
      <c r="E444" s="20"/>
    </row>
    <row r="445">
      <c r="B445" s="21"/>
      <c r="C445" s="19"/>
      <c r="E445" s="20"/>
    </row>
    <row r="446">
      <c r="B446" s="21"/>
      <c r="C446" s="19"/>
      <c r="E446" s="20"/>
    </row>
    <row r="447">
      <c r="B447" s="21"/>
      <c r="C447" s="19"/>
      <c r="E447" s="20"/>
    </row>
    <row r="448">
      <c r="B448" s="21"/>
      <c r="C448" s="19"/>
      <c r="E448" s="20"/>
    </row>
    <row r="449">
      <c r="B449" s="21"/>
      <c r="C449" s="19"/>
      <c r="E449" s="20"/>
    </row>
    <row r="450">
      <c r="B450" s="21"/>
      <c r="C450" s="19"/>
      <c r="E450" s="20"/>
    </row>
    <row r="451">
      <c r="B451" s="21"/>
      <c r="C451" s="19"/>
      <c r="E451" s="20"/>
    </row>
    <row r="452">
      <c r="B452" s="21"/>
      <c r="C452" s="19"/>
      <c r="E452" s="20"/>
    </row>
    <row r="453">
      <c r="B453" s="21"/>
      <c r="C453" s="19"/>
      <c r="E453" s="20"/>
    </row>
    <row r="454">
      <c r="B454" s="21"/>
      <c r="C454" s="19"/>
      <c r="E454" s="20"/>
    </row>
    <row r="455">
      <c r="B455" s="21"/>
      <c r="C455" s="19"/>
      <c r="E455" s="20"/>
    </row>
    <row r="456">
      <c r="B456" s="21"/>
      <c r="C456" s="19"/>
      <c r="E456" s="20"/>
    </row>
    <row r="457">
      <c r="B457" s="21"/>
      <c r="C457" s="19"/>
      <c r="E457" s="20"/>
    </row>
    <row r="458">
      <c r="B458" s="21"/>
      <c r="C458" s="19"/>
      <c r="E458" s="20"/>
    </row>
    <row r="459">
      <c r="B459" s="21"/>
      <c r="C459" s="19"/>
      <c r="E459" s="20"/>
    </row>
    <row r="460">
      <c r="B460" s="21"/>
      <c r="C460" s="19"/>
      <c r="E460" s="20"/>
    </row>
    <row r="461">
      <c r="B461" s="21"/>
      <c r="C461" s="19"/>
      <c r="E461" s="20"/>
    </row>
    <row r="462">
      <c r="B462" s="21"/>
      <c r="C462" s="19"/>
      <c r="E462" s="20"/>
    </row>
    <row r="463">
      <c r="B463" s="21"/>
      <c r="C463" s="19"/>
      <c r="E463" s="20"/>
    </row>
    <row r="464">
      <c r="B464" s="21"/>
      <c r="C464" s="19"/>
      <c r="E464" s="20"/>
    </row>
    <row r="465">
      <c r="B465" s="21"/>
      <c r="C465" s="19"/>
      <c r="E465" s="20"/>
    </row>
    <row r="466">
      <c r="B466" s="21"/>
      <c r="C466" s="19"/>
      <c r="E466" s="20"/>
    </row>
    <row r="467">
      <c r="B467" s="21"/>
      <c r="C467" s="19"/>
      <c r="E467" s="20"/>
    </row>
    <row r="468">
      <c r="B468" s="21"/>
      <c r="C468" s="19"/>
      <c r="E468" s="20"/>
    </row>
    <row r="469">
      <c r="B469" s="21"/>
      <c r="C469" s="19"/>
      <c r="E469" s="20"/>
    </row>
    <row r="470">
      <c r="B470" s="21"/>
      <c r="C470" s="19"/>
      <c r="E470" s="20"/>
    </row>
    <row r="471">
      <c r="B471" s="21"/>
      <c r="C471" s="19"/>
      <c r="E471" s="20"/>
    </row>
    <row r="472">
      <c r="B472" s="21"/>
      <c r="C472" s="19"/>
      <c r="E472" s="20"/>
    </row>
    <row r="473">
      <c r="B473" s="21"/>
      <c r="C473" s="19"/>
      <c r="E473" s="20"/>
    </row>
    <row r="474">
      <c r="B474" s="21"/>
      <c r="C474" s="19"/>
      <c r="E474" s="20"/>
    </row>
    <row r="475">
      <c r="B475" s="21"/>
      <c r="C475" s="19"/>
      <c r="E475" s="20"/>
    </row>
    <row r="476">
      <c r="B476" s="21"/>
      <c r="C476" s="19"/>
      <c r="E476" s="20"/>
    </row>
    <row r="477">
      <c r="B477" s="21"/>
      <c r="C477" s="19"/>
      <c r="E477" s="20"/>
    </row>
    <row r="478">
      <c r="B478" s="21"/>
      <c r="C478" s="19"/>
      <c r="E478" s="20"/>
    </row>
    <row r="479">
      <c r="B479" s="21"/>
      <c r="C479" s="19"/>
      <c r="E479" s="20"/>
    </row>
    <row r="480">
      <c r="B480" s="21"/>
      <c r="C480" s="19"/>
      <c r="E480" s="20"/>
    </row>
    <row r="481">
      <c r="B481" s="21"/>
      <c r="C481" s="19"/>
      <c r="E481" s="20"/>
    </row>
    <row r="482">
      <c r="B482" s="21"/>
      <c r="C482" s="19"/>
      <c r="E482" s="20"/>
    </row>
    <row r="483">
      <c r="B483" s="21"/>
      <c r="C483" s="19"/>
      <c r="E483" s="20"/>
    </row>
    <row r="484">
      <c r="B484" s="21"/>
      <c r="C484" s="19"/>
      <c r="E484" s="20"/>
    </row>
    <row r="485">
      <c r="B485" s="21"/>
      <c r="C485" s="19"/>
      <c r="E485" s="20"/>
    </row>
    <row r="486">
      <c r="B486" s="21"/>
      <c r="C486" s="19"/>
      <c r="E486" s="20"/>
    </row>
    <row r="487">
      <c r="B487" s="21"/>
      <c r="C487" s="19"/>
      <c r="E487" s="20"/>
    </row>
    <row r="488">
      <c r="B488" s="21"/>
      <c r="C488" s="19"/>
      <c r="E488" s="20"/>
    </row>
    <row r="489">
      <c r="B489" s="21"/>
      <c r="C489" s="19"/>
      <c r="E489" s="20"/>
    </row>
    <row r="490">
      <c r="B490" s="21"/>
      <c r="C490" s="19"/>
      <c r="E490" s="20"/>
    </row>
    <row r="491">
      <c r="B491" s="21"/>
      <c r="C491" s="19"/>
      <c r="E491" s="20"/>
    </row>
    <row r="492">
      <c r="B492" s="21"/>
      <c r="C492" s="19"/>
      <c r="E492" s="20"/>
    </row>
    <row r="493">
      <c r="B493" s="21"/>
      <c r="C493" s="19"/>
      <c r="E493" s="20"/>
    </row>
    <row r="494">
      <c r="B494" s="21"/>
      <c r="C494" s="19"/>
      <c r="E494" s="20"/>
    </row>
    <row r="495">
      <c r="B495" s="21"/>
      <c r="C495" s="19"/>
      <c r="E495" s="20"/>
    </row>
    <row r="496">
      <c r="B496" s="21"/>
      <c r="C496" s="19"/>
      <c r="E496" s="20"/>
    </row>
    <row r="497">
      <c r="B497" s="21"/>
      <c r="C497" s="19"/>
      <c r="E497" s="20"/>
    </row>
    <row r="498">
      <c r="B498" s="21"/>
      <c r="C498" s="19"/>
      <c r="E498" s="20"/>
    </row>
    <row r="499">
      <c r="B499" s="21"/>
      <c r="C499" s="19"/>
      <c r="E499" s="20"/>
    </row>
    <row r="500">
      <c r="B500" s="21"/>
      <c r="C500" s="19"/>
      <c r="E500" s="20"/>
    </row>
    <row r="501">
      <c r="B501" s="21"/>
      <c r="C501" s="19"/>
      <c r="E501" s="20"/>
    </row>
    <row r="502">
      <c r="B502" s="21"/>
      <c r="C502" s="19"/>
      <c r="E502" s="20"/>
    </row>
    <row r="503">
      <c r="B503" s="21"/>
      <c r="C503" s="19"/>
      <c r="E503" s="20"/>
    </row>
    <row r="504">
      <c r="B504" s="21"/>
      <c r="C504" s="19"/>
      <c r="E504" s="20"/>
    </row>
    <row r="505">
      <c r="B505" s="21"/>
      <c r="C505" s="19"/>
      <c r="E505" s="20"/>
    </row>
    <row r="506">
      <c r="B506" s="21"/>
      <c r="C506" s="19"/>
      <c r="E506" s="20"/>
    </row>
    <row r="507">
      <c r="B507" s="21"/>
      <c r="C507" s="19"/>
      <c r="E507" s="20"/>
    </row>
    <row r="508">
      <c r="B508" s="21"/>
      <c r="C508" s="19"/>
      <c r="E508" s="20"/>
    </row>
    <row r="509">
      <c r="B509" s="21"/>
      <c r="C509" s="19"/>
      <c r="E509" s="20"/>
    </row>
    <row r="510">
      <c r="B510" s="21"/>
      <c r="C510" s="19"/>
      <c r="E510" s="20"/>
    </row>
    <row r="511">
      <c r="B511" s="21"/>
      <c r="C511" s="19"/>
      <c r="E511" s="20"/>
    </row>
    <row r="512">
      <c r="B512" s="21"/>
      <c r="C512" s="19"/>
      <c r="E512" s="20"/>
    </row>
    <row r="513">
      <c r="B513" s="21"/>
      <c r="C513" s="19"/>
      <c r="E513" s="20"/>
    </row>
    <row r="514">
      <c r="B514" s="21"/>
      <c r="C514" s="19"/>
      <c r="E514" s="20"/>
    </row>
    <row r="515">
      <c r="B515" s="21"/>
      <c r="C515" s="19"/>
      <c r="E515" s="20"/>
    </row>
    <row r="516">
      <c r="B516" s="21"/>
      <c r="C516" s="19"/>
      <c r="E516" s="20"/>
    </row>
    <row r="517">
      <c r="B517" s="21"/>
      <c r="C517" s="19"/>
      <c r="E517" s="20"/>
    </row>
    <row r="518">
      <c r="B518" s="21"/>
      <c r="C518" s="19"/>
      <c r="E518" s="20"/>
    </row>
    <row r="519">
      <c r="B519" s="21"/>
      <c r="C519" s="19"/>
      <c r="E519" s="20"/>
    </row>
    <row r="520">
      <c r="B520" s="21"/>
      <c r="C520" s="19"/>
      <c r="E520" s="20"/>
    </row>
    <row r="521">
      <c r="B521" s="21"/>
      <c r="C521" s="19"/>
      <c r="E521" s="20"/>
    </row>
    <row r="522">
      <c r="B522" s="21"/>
      <c r="C522" s="19"/>
      <c r="E522" s="20"/>
    </row>
    <row r="523">
      <c r="B523" s="21"/>
      <c r="C523" s="19"/>
      <c r="E523" s="20"/>
    </row>
    <row r="524">
      <c r="B524" s="21"/>
      <c r="C524" s="19"/>
      <c r="E524" s="20"/>
    </row>
    <row r="525">
      <c r="B525" s="21"/>
      <c r="C525" s="19"/>
      <c r="E525" s="20"/>
    </row>
    <row r="526">
      <c r="B526" s="21"/>
      <c r="C526" s="19"/>
      <c r="E526" s="20"/>
    </row>
    <row r="527">
      <c r="B527" s="21"/>
      <c r="C527" s="19"/>
      <c r="E527" s="20"/>
    </row>
    <row r="528">
      <c r="B528" s="21"/>
      <c r="C528" s="19"/>
      <c r="E528" s="20"/>
    </row>
    <row r="529">
      <c r="B529" s="21"/>
      <c r="C529" s="19"/>
      <c r="E529" s="20"/>
    </row>
    <row r="530">
      <c r="B530" s="21"/>
      <c r="C530" s="19"/>
      <c r="E530" s="20"/>
    </row>
    <row r="531">
      <c r="B531" s="21"/>
      <c r="C531" s="19"/>
      <c r="E531" s="20"/>
    </row>
    <row r="532">
      <c r="B532" s="21"/>
      <c r="C532" s="19"/>
      <c r="E532" s="20"/>
    </row>
    <row r="533">
      <c r="B533" s="21"/>
      <c r="C533" s="19"/>
      <c r="E533" s="20"/>
    </row>
    <row r="534">
      <c r="B534" s="21"/>
      <c r="C534" s="19"/>
      <c r="E534" s="20"/>
    </row>
    <row r="535">
      <c r="B535" s="21"/>
      <c r="C535" s="19"/>
      <c r="E535" s="20"/>
    </row>
    <row r="536">
      <c r="B536" s="21"/>
      <c r="C536" s="19"/>
      <c r="E536" s="20"/>
    </row>
    <row r="537">
      <c r="B537" s="21"/>
      <c r="C537" s="19"/>
      <c r="E537" s="20"/>
    </row>
    <row r="538">
      <c r="B538" s="21"/>
      <c r="C538" s="19"/>
      <c r="E538" s="20"/>
    </row>
    <row r="539">
      <c r="B539" s="21"/>
      <c r="C539" s="19"/>
      <c r="E539" s="20"/>
    </row>
    <row r="540">
      <c r="B540" s="21"/>
      <c r="C540" s="19"/>
      <c r="E540" s="20"/>
    </row>
    <row r="541">
      <c r="B541" s="21"/>
      <c r="C541" s="19"/>
      <c r="E541" s="20"/>
    </row>
    <row r="542">
      <c r="B542" s="21"/>
      <c r="C542" s="19"/>
      <c r="E542" s="20"/>
    </row>
    <row r="543">
      <c r="B543" s="21"/>
      <c r="C543" s="19"/>
      <c r="E543" s="20"/>
    </row>
    <row r="544">
      <c r="B544" s="21"/>
      <c r="C544" s="19"/>
      <c r="E544" s="20"/>
    </row>
    <row r="545">
      <c r="B545" s="21"/>
      <c r="C545" s="19"/>
      <c r="E545" s="20"/>
    </row>
    <row r="546">
      <c r="B546" s="21"/>
      <c r="C546" s="19"/>
      <c r="E546" s="20"/>
    </row>
    <row r="547">
      <c r="B547" s="21"/>
      <c r="C547" s="19"/>
      <c r="E547" s="20"/>
    </row>
    <row r="548">
      <c r="B548" s="21"/>
      <c r="C548" s="19"/>
      <c r="E548" s="20"/>
    </row>
    <row r="549">
      <c r="B549" s="21"/>
      <c r="C549" s="19"/>
      <c r="E549" s="20"/>
    </row>
    <row r="550">
      <c r="B550" s="21"/>
      <c r="C550" s="19"/>
      <c r="E550" s="20"/>
    </row>
    <row r="551">
      <c r="B551" s="21"/>
      <c r="C551" s="19"/>
      <c r="E551" s="20"/>
    </row>
    <row r="552">
      <c r="B552" s="21"/>
      <c r="C552" s="19"/>
      <c r="E552" s="20"/>
    </row>
    <row r="553">
      <c r="B553" s="21"/>
      <c r="C553" s="19"/>
      <c r="E553" s="20"/>
    </row>
    <row r="554">
      <c r="B554" s="21"/>
      <c r="C554" s="19"/>
      <c r="E554" s="20"/>
    </row>
    <row r="555">
      <c r="B555" s="21"/>
      <c r="C555" s="19"/>
      <c r="E555" s="20"/>
    </row>
    <row r="556">
      <c r="B556" s="21"/>
      <c r="C556" s="19"/>
      <c r="E556" s="20"/>
    </row>
    <row r="557">
      <c r="B557" s="21"/>
      <c r="C557" s="19"/>
      <c r="E557" s="20"/>
    </row>
    <row r="558">
      <c r="B558" s="21"/>
      <c r="C558" s="19"/>
      <c r="E558" s="20"/>
    </row>
    <row r="559">
      <c r="B559" s="21"/>
      <c r="C559" s="19"/>
      <c r="E559" s="20"/>
    </row>
    <row r="560">
      <c r="B560" s="21"/>
      <c r="C560" s="19"/>
      <c r="E560" s="20"/>
    </row>
    <row r="561">
      <c r="B561" s="21"/>
      <c r="C561" s="19"/>
      <c r="E561" s="20"/>
    </row>
    <row r="562">
      <c r="B562" s="21"/>
      <c r="C562" s="19"/>
      <c r="E562" s="20"/>
    </row>
    <row r="563">
      <c r="B563" s="21"/>
      <c r="C563" s="19"/>
      <c r="E563" s="20"/>
    </row>
    <row r="564">
      <c r="B564" s="21"/>
      <c r="C564" s="19"/>
      <c r="E564" s="20"/>
    </row>
    <row r="565">
      <c r="B565" s="21"/>
      <c r="C565" s="19"/>
      <c r="E565" s="20"/>
    </row>
    <row r="566">
      <c r="B566" s="21"/>
      <c r="C566" s="19"/>
      <c r="E566" s="20"/>
    </row>
    <row r="567">
      <c r="B567" s="21"/>
      <c r="C567" s="19"/>
      <c r="E567" s="20"/>
    </row>
    <row r="568">
      <c r="B568" s="21"/>
      <c r="C568" s="19"/>
      <c r="E568" s="20"/>
    </row>
    <row r="569">
      <c r="B569" s="21"/>
      <c r="C569" s="19"/>
      <c r="E569" s="20"/>
    </row>
    <row r="570">
      <c r="B570" s="21"/>
      <c r="C570" s="19"/>
      <c r="E570" s="20"/>
    </row>
    <row r="571">
      <c r="B571" s="21"/>
      <c r="C571" s="19"/>
      <c r="E571" s="20"/>
    </row>
    <row r="572">
      <c r="B572" s="21"/>
      <c r="C572" s="19"/>
      <c r="E572" s="20"/>
    </row>
    <row r="573">
      <c r="B573" s="21"/>
      <c r="C573" s="19"/>
      <c r="E573" s="20"/>
    </row>
    <row r="574">
      <c r="B574" s="21"/>
      <c r="C574" s="19"/>
      <c r="E574" s="20"/>
    </row>
    <row r="575">
      <c r="B575" s="21"/>
      <c r="C575" s="19"/>
      <c r="E575" s="20"/>
    </row>
    <row r="576">
      <c r="B576" s="21"/>
      <c r="C576" s="19"/>
      <c r="E576" s="20"/>
    </row>
    <row r="577">
      <c r="B577" s="21"/>
      <c r="C577" s="19"/>
      <c r="E577" s="20"/>
    </row>
    <row r="578">
      <c r="B578" s="21"/>
      <c r="C578" s="19"/>
      <c r="E578" s="20"/>
    </row>
    <row r="579">
      <c r="B579" s="21"/>
      <c r="C579" s="19"/>
      <c r="E579" s="20"/>
    </row>
    <row r="580">
      <c r="B580" s="21"/>
      <c r="C580" s="19"/>
      <c r="E580" s="20"/>
    </row>
    <row r="581">
      <c r="B581" s="21"/>
      <c r="C581" s="19"/>
      <c r="E581" s="20"/>
    </row>
    <row r="582">
      <c r="B582" s="21"/>
      <c r="C582" s="19"/>
      <c r="E582" s="20"/>
    </row>
    <row r="583">
      <c r="B583" s="21"/>
      <c r="C583" s="19"/>
      <c r="E583" s="20"/>
    </row>
    <row r="584">
      <c r="B584" s="21"/>
      <c r="C584" s="19"/>
      <c r="E584" s="20"/>
    </row>
    <row r="585">
      <c r="B585" s="21"/>
      <c r="C585" s="19"/>
      <c r="E585" s="20"/>
    </row>
    <row r="586">
      <c r="B586" s="21"/>
      <c r="C586" s="19"/>
      <c r="E586" s="20"/>
    </row>
    <row r="587">
      <c r="B587" s="21"/>
      <c r="C587" s="19"/>
      <c r="E587" s="20"/>
    </row>
    <row r="588">
      <c r="B588" s="21"/>
      <c r="C588" s="19"/>
      <c r="E588" s="20"/>
    </row>
    <row r="589">
      <c r="B589" s="21"/>
      <c r="C589" s="19"/>
      <c r="E589" s="20"/>
    </row>
    <row r="590">
      <c r="B590" s="21"/>
      <c r="C590" s="19"/>
      <c r="E590" s="20"/>
    </row>
    <row r="591">
      <c r="B591" s="21"/>
      <c r="C591" s="19"/>
      <c r="E591" s="20"/>
    </row>
    <row r="592">
      <c r="B592" s="21"/>
      <c r="C592" s="19"/>
      <c r="E592" s="20"/>
    </row>
    <row r="593">
      <c r="B593" s="21"/>
      <c r="C593" s="19"/>
      <c r="E593" s="20"/>
    </row>
    <row r="594">
      <c r="B594" s="21"/>
      <c r="C594" s="19"/>
      <c r="E594" s="20"/>
    </row>
    <row r="595">
      <c r="B595" s="21"/>
      <c r="C595" s="19"/>
      <c r="E595" s="20"/>
    </row>
    <row r="596">
      <c r="B596" s="21"/>
      <c r="C596" s="19"/>
      <c r="E596" s="20"/>
    </row>
    <row r="597">
      <c r="B597" s="21"/>
      <c r="C597" s="19"/>
      <c r="E597" s="20"/>
    </row>
    <row r="598">
      <c r="B598" s="21"/>
      <c r="C598" s="19"/>
      <c r="E598" s="20"/>
    </row>
    <row r="599">
      <c r="B599" s="21"/>
      <c r="C599" s="19"/>
      <c r="E599" s="20"/>
    </row>
    <row r="600">
      <c r="B600" s="21"/>
      <c r="C600" s="19"/>
      <c r="E600" s="20"/>
    </row>
    <row r="601">
      <c r="B601" s="21"/>
      <c r="C601" s="19"/>
      <c r="E601" s="20"/>
    </row>
    <row r="602">
      <c r="B602" s="21"/>
      <c r="C602" s="19"/>
      <c r="E602" s="20"/>
    </row>
    <row r="603">
      <c r="B603" s="21"/>
      <c r="C603" s="19"/>
      <c r="E603" s="20"/>
    </row>
    <row r="604">
      <c r="B604" s="21"/>
      <c r="C604" s="19"/>
      <c r="E604" s="20"/>
    </row>
    <row r="605">
      <c r="B605" s="21"/>
      <c r="C605" s="19"/>
      <c r="E605" s="20"/>
    </row>
    <row r="606">
      <c r="B606" s="21"/>
      <c r="C606" s="19"/>
      <c r="E606" s="20"/>
    </row>
    <row r="607">
      <c r="B607" s="21"/>
      <c r="C607" s="19"/>
      <c r="E607" s="20"/>
    </row>
    <row r="608">
      <c r="B608" s="21"/>
      <c r="C608" s="19"/>
      <c r="E608" s="20"/>
    </row>
    <row r="609">
      <c r="B609" s="21"/>
      <c r="C609" s="19"/>
      <c r="E609" s="20"/>
    </row>
    <row r="610">
      <c r="B610" s="21"/>
      <c r="C610" s="19"/>
      <c r="E610" s="20"/>
    </row>
    <row r="611">
      <c r="B611" s="21"/>
      <c r="C611" s="19"/>
      <c r="E611" s="20"/>
    </row>
    <row r="612">
      <c r="B612" s="21"/>
      <c r="C612" s="19"/>
      <c r="E612" s="20"/>
    </row>
    <row r="613">
      <c r="B613" s="21"/>
      <c r="C613" s="19"/>
      <c r="E613" s="20"/>
    </row>
    <row r="614">
      <c r="B614" s="21"/>
      <c r="C614" s="19"/>
      <c r="E614" s="20"/>
    </row>
    <row r="615">
      <c r="B615" s="21"/>
      <c r="C615" s="19"/>
      <c r="E615" s="20"/>
    </row>
    <row r="616">
      <c r="B616" s="21"/>
      <c r="C616" s="19"/>
      <c r="E616" s="20"/>
    </row>
    <row r="617">
      <c r="B617" s="21"/>
      <c r="C617" s="19"/>
      <c r="E617" s="20"/>
    </row>
    <row r="618">
      <c r="B618" s="21"/>
      <c r="C618" s="19"/>
      <c r="E618" s="20"/>
    </row>
    <row r="619">
      <c r="B619" s="21"/>
      <c r="C619" s="19"/>
      <c r="E619" s="20"/>
    </row>
    <row r="620">
      <c r="B620" s="21"/>
      <c r="C620" s="19"/>
      <c r="E620" s="20"/>
    </row>
    <row r="621">
      <c r="B621" s="21"/>
      <c r="C621" s="19"/>
      <c r="E621" s="20"/>
    </row>
    <row r="622">
      <c r="B622" s="21"/>
      <c r="C622" s="19"/>
      <c r="E622" s="20"/>
    </row>
    <row r="623">
      <c r="B623" s="21"/>
      <c r="C623" s="19"/>
      <c r="E623" s="20"/>
    </row>
    <row r="624">
      <c r="B624" s="21"/>
      <c r="C624" s="19"/>
      <c r="E624" s="20"/>
    </row>
    <row r="625">
      <c r="B625" s="21"/>
      <c r="C625" s="19"/>
      <c r="E625" s="20"/>
    </row>
    <row r="626">
      <c r="B626" s="21"/>
      <c r="C626" s="19"/>
      <c r="E626" s="20"/>
    </row>
    <row r="627">
      <c r="B627" s="21"/>
      <c r="C627" s="19"/>
      <c r="E627" s="20"/>
    </row>
    <row r="628">
      <c r="B628" s="21"/>
      <c r="C628" s="19"/>
      <c r="E628" s="20"/>
    </row>
    <row r="629">
      <c r="B629" s="21"/>
      <c r="C629" s="19"/>
      <c r="E629" s="20"/>
    </row>
    <row r="630">
      <c r="B630" s="21"/>
      <c r="C630" s="19"/>
      <c r="E630" s="20"/>
    </row>
    <row r="631">
      <c r="B631" s="21"/>
      <c r="C631" s="19"/>
      <c r="E631" s="20"/>
    </row>
    <row r="632">
      <c r="B632" s="21"/>
      <c r="C632" s="19"/>
      <c r="E632" s="20"/>
    </row>
    <row r="633">
      <c r="B633" s="21"/>
      <c r="C633" s="19"/>
      <c r="E633" s="20"/>
    </row>
    <row r="634">
      <c r="B634" s="21"/>
      <c r="C634" s="19"/>
      <c r="E634" s="20"/>
    </row>
    <row r="635">
      <c r="B635" s="21"/>
      <c r="C635" s="19"/>
      <c r="E635" s="20"/>
    </row>
    <row r="636">
      <c r="B636" s="21"/>
      <c r="C636" s="19"/>
      <c r="E636" s="20"/>
    </row>
    <row r="637">
      <c r="B637" s="21"/>
      <c r="C637" s="19"/>
      <c r="E637" s="20"/>
    </row>
    <row r="638">
      <c r="B638" s="21"/>
      <c r="C638" s="19"/>
      <c r="E638" s="20"/>
    </row>
    <row r="639">
      <c r="B639" s="21"/>
      <c r="C639" s="19"/>
      <c r="E639" s="20"/>
    </row>
    <row r="640">
      <c r="B640" s="21"/>
      <c r="C640" s="19"/>
      <c r="E640" s="20"/>
    </row>
    <row r="641">
      <c r="B641" s="21"/>
      <c r="C641" s="19"/>
      <c r="E641" s="20"/>
    </row>
    <row r="642">
      <c r="B642" s="21"/>
      <c r="C642" s="19"/>
      <c r="E642" s="20"/>
    </row>
    <row r="643">
      <c r="B643" s="21"/>
      <c r="C643" s="19"/>
      <c r="E643" s="20"/>
    </row>
    <row r="644">
      <c r="B644" s="21"/>
      <c r="C644" s="19"/>
      <c r="E644" s="20"/>
    </row>
    <row r="645">
      <c r="B645" s="21"/>
      <c r="C645" s="19"/>
      <c r="E645" s="20"/>
    </row>
    <row r="646">
      <c r="B646" s="21"/>
      <c r="C646" s="19"/>
      <c r="E646" s="20"/>
    </row>
    <row r="647">
      <c r="B647" s="21"/>
      <c r="C647" s="19"/>
      <c r="E647" s="20"/>
    </row>
    <row r="648">
      <c r="B648" s="21"/>
      <c r="C648" s="19"/>
      <c r="E648" s="20"/>
    </row>
    <row r="649">
      <c r="B649" s="21"/>
      <c r="C649" s="19"/>
      <c r="E649" s="20"/>
    </row>
    <row r="650">
      <c r="B650" s="21"/>
      <c r="C650" s="19"/>
      <c r="E650" s="20"/>
    </row>
    <row r="651">
      <c r="B651" s="21"/>
      <c r="C651" s="19"/>
      <c r="E651" s="20"/>
    </row>
    <row r="652">
      <c r="B652" s="21"/>
      <c r="C652" s="19"/>
      <c r="E652" s="20"/>
    </row>
    <row r="653">
      <c r="B653" s="21"/>
      <c r="C653" s="19"/>
      <c r="E653" s="20"/>
    </row>
    <row r="654">
      <c r="B654" s="21"/>
      <c r="C654" s="19"/>
      <c r="E654" s="20"/>
    </row>
    <row r="655">
      <c r="B655" s="21"/>
      <c r="C655" s="19"/>
      <c r="E655" s="20"/>
    </row>
    <row r="656">
      <c r="B656" s="21"/>
      <c r="C656" s="19"/>
      <c r="E656" s="20"/>
    </row>
    <row r="657">
      <c r="B657" s="21"/>
      <c r="C657" s="19"/>
      <c r="E657" s="20"/>
    </row>
    <row r="658">
      <c r="B658" s="21"/>
      <c r="C658" s="19"/>
      <c r="E658" s="20"/>
    </row>
    <row r="659">
      <c r="B659" s="21"/>
      <c r="C659" s="19"/>
      <c r="E659" s="20"/>
    </row>
    <row r="660">
      <c r="B660" s="21"/>
      <c r="C660" s="19"/>
      <c r="E660" s="20"/>
    </row>
    <row r="661">
      <c r="B661" s="21"/>
      <c r="C661" s="19"/>
      <c r="E661" s="20"/>
    </row>
    <row r="662">
      <c r="B662" s="21"/>
      <c r="C662" s="19"/>
      <c r="E662" s="20"/>
    </row>
    <row r="663">
      <c r="B663" s="21"/>
      <c r="C663" s="19"/>
      <c r="E663" s="20"/>
    </row>
    <row r="664">
      <c r="B664" s="21"/>
      <c r="C664" s="19"/>
      <c r="E664" s="20"/>
    </row>
    <row r="665">
      <c r="B665" s="21"/>
      <c r="C665" s="19"/>
      <c r="E665" s="20"/>
    </row>
    <row r="666">
      <c r="B666" s="21"/>
      <c r="C666" s="19"/>
      <c r="E666" s="20"/>
    </row>
    <row r="667">
      <c r="B667" s="21"/>
      <c r="C667" s="19"/>
      <c r="E667" s="20"/>
    </row>
    <row r="668">
      <c r="B668" s="21"/>
      <c r="C668" s="19"/>
      <c r="E668" s="20"/>
    </row>
    <row r="669">
      <c r="B669" s="21"/>
      <c r="C669" s="19"/>
      <c r="E669" s="20"/>
    </row>
    <row r="670">
      <c r="B670" s="21"/>
      <c r="C670" s="19"/>
      <c r="E670" s="20"/>
    </row>
    <row r="671">
      <c r="B671" s="21"/>
      <c r="C671" s="19"/>
      <c r="E671" s="20"/>
    </row>
    <row r="672">
      <c r="B672" s="21"/>
      <c r="C672" s="19"/>
      <c r="E672" s="20"/>
    </row>
    <row r="673">
      <c r="B673" s="21"/>
      <c r="C673" s="19"/>
      <c r="E673" s="20"/>
    </row>
    <row r="674">
      <c r="B674" s="21"/>
      <c r="C674" s="19"/>
      <c r="E674" s="20"/>
    </row>
    <row r="675">
      <c r="B675" s="21"/>
      <c r="C675" s="19"/>
      <c r="E675" s="20"/>
    </row>
    <row r="676">
      <c r="B676" s="21"/>
      <c r="C676" s="19"/>
      <c r="E676" s="20"/>
    </row>
    <row r="677">
      <c r="B677" s="21"/>
      <c r="C677" s="19"/>
      <c r="E677" s="20"/>
    </row>
    <row r="678">
      <c r="B678" s="21"/>
      <c r="C678" s="19"/>
      <c r="E678" s="20"/>
    </row>
    <row r="679">
      <c r="B679" s="21"/>
      <c r="C679" s="19"/>
      <c r="E679" s="20"/>
    </row>
    <row r="680">
      <c r="B680" s="21"/>
      <c r="C680" s="19"/>
      <c r="E680" s="20"/>
    </row>
    <row r="681">
      <c r="B681" s="21"/>
      <c r="C681" s="19"/>
      <c r="E681" s="20"/>
    </row>
    <row r="682">
      <c r="B682" s="21"/>
      <c r="C682" s="19"/>
      <c r="E682" s="20"/>
    </row>
    <row r="683">
      <c r="B683" s="21"/>
      <c r="C683" s="19"/>
      <c r="E683" s="20"/>
    </row>
    <row r="684">
      <c r="B684" s="21"/>
      <c r="C684" s="19"/>
      <c r="E684" s="20"/>
    </row>
    <row r="685">
      <c r="B685" s="21"/>
      <c r="C685" s="19"/>
      <c r="E685" s="20"/>
    </row>
    <row r="686">
      <c r="B686" s="21"/>
      <c r="C686" s="19"/>
      <c r="E686" s="20"/>
    </row>
    <row r="687">
      <c r="B687" s="21"/>
      <c r="C687" s="19"/>
      <c r="E687" s="20"/>
    </row>
    <row r="688">
      <c r="B688" s="21"/>
      <c r="C688" s="19"/>
      <c r="E688" s="20"/>
    </row>
    <row r="689">
      <c r="B689" s="21"/>
      <c r="C689" s="19"/>
      <c r="E689" s="20"/>
    </row>
    <row r="690">
      <c r="B690" s="21"/>
      <c r="C690" s="19"/>
      <c r="E690" s="20"/>
    </row>
    <row r="691">
      <c r="B691" s="21"/>
      <c r="C691" s="19"/>
      <c r="E691" s="20"/>
    </row>
    <row r="692">
      <c r="B692" s="21"/>
      <c r="C692" s="19"/>
      <c r="E692" s="20"/>
    </row>
    <row r="693">
      <c r="B693" s="21"/>
      <c r="C693" s="19"/>
      <c r="E693" s="20"/>
    </row>
    <row r="694">
      <c r="B694" s="21"/>
      <c r="C694" s="19"/>
      <c r="E694" s="20"/>
    </row>
    <row r="695">
      <c r="B695" s="21"/>
      <c r="C695" s="19"/>
      <c r="E695" s="20"/>
    </row>
    <row r="696">
      <c r="B696" s="21"/>
      <c r="C696" s="19"/>
      <c r="E696" s="20"/>
    </row>
    <row r="697">
      <c r="B697" s="21"/>
      <c r="C697" s="19"/>
      <c r="E697" s="20"/>
    </row>
    <row r="698">
      <c r="B698" s="21"/>
      <c r="C698" s="19"/>
      <c r="E698" s="20"/>
    </row>
    <row r="699">
      <c r="B699" s="21"/>
      <c r="C699" s="19"/>
      <c r="E699" s="20"/>
    </row>
    <row r="700">
      <c r="B700" s="21"/>
      <c r="C700" s="19"/>
      <c r="E700" s="20"/>
    </row>
    <row r="701">
      <c r="B701" s="21"/>
      <c r="C701" s="19"/>
      <c r="E701" s="20"/>
    </row>
    <row r="702">
      <c r="B702" s="21"/>
      <c r="C702" s="19"/>
      <c r="E702" s="20"/>
    </row>
    <row r="703">
      <c r="B703" s="21"/>
      <c r="C703" s="19"/>
      <c r="E703" s="20"/>
    </row>
    <row r="704">
      <c r="B704" s="21"/>
      <c r="C704" s="19"/>
      <c r="E704" s="20"/>
    </row>
    <row r="705">
      <c r="B705" s="21"/>
      <c r="C705" s="19"/>
      <c r="E705" s="20"/>
    </row>
    <row r="706">
      <c r="B706" s="21"/>
      <c r="C706" s="19"/>
      <c r="E706" s="20"/>
    </row>
    <row r="707">
      <c r="B707" s="21"/>
      <c r="C707" s="19"/>
      <c r="E707" s="20"/>
    </row>
    <row r="708">
      <c r="B708" s="21"/>
      <c r="C708" s="19"/>
      <c r="E708" s="20"/>
    </row>
    <row r="709">
      <c r="B709" s="21"/>
      <c r="C709" s="19"/>
      <c r="E709" s="20"/>
    </row>
    <row r="710">
      <c r="B710" s="21"/>
      <c r="C710" s="19"/>
      <c r="E710" s="20"/>
    </row>
    <row r="711">
      <c r="B711" s="21"/>
      <c r="C711" s="19"/>
      <c r="E711" s="20"/>
    </row>
    <row r="712">
      <c r="B712" s="21"/>
      <c r="C712" s="19"/>
      <c r="E712" s="20"/>
    </row>
    <row r="713">
      <c r="B713" s="21"/>
      <c r="C713" s="19"/>
      <c r="E713" s="20"/>
    </row>
    <row r="714">
      <c r="B714" s="21"/>
      <c r="C714" s="19"/>
      <c r="E714" s="20"/>
    </row>
    <row r="715">
      <c r="B715" s="21"/>
      <c r="C715" s="19"/>
      <c r="E715" s="20"/>
    </row>
    <row r="716">
      <c r="B716" s="21"/>
      <c r="C716" s="19"/>
      <c r="E716" s="20"/>
    </row>
    <row r="717">
      <c r="B717" s="21"/>
      <c r="C717" s="19"/>
      <c r="E717" s="20"/>
    </row>
    <row r="718">
      <c r="B718" s="21"/>
      <c r="C718" s="19"/>
      <c r="E718" s="20"/>
    </row>
    <row r="719">
      <c r="B719" s="21"/>
      <c r="C719" s="19"/>
      <c r="E719" s="20"/>
    </row>
    <row r="720">
      <c r="B720" s="21"/>
      <c r="C720" s="19"/>
      <c r="E720" s="20"/>
    </row>
    <row r="721">
      <c r="B721" s="21"/>
      <c r="C721" s="19"/>
      <c r="E721" s="20"/>
    </row>
    <row r="722">
      <c r="B722" s="21"/>
      <c r="C722" s="19"/>
      <c r="E722" s="20"/>
    </row>
    <row r="723">
      <c r="B723" s="21"/>
      <c r="C723" s="19"/>
      <c r="E723" s="20"/>
    </row>
    <row r="724">
      <c r="B724" s="21"/>
      <c r="C724" s="19"/>
      <c r="E724" s="20"/>
    </row>
    <row r="725">
      <c r="B725" s="21"/>
      <c r="C725" s="19"/>
      <c r="E725" s="20"/>
    </row>
    <row r="726">
      <c r="B726" s="21"/>
      <c r="C726" s="19"/>
      <c r="E726" s="20"/>
    </row>
    <row r="727">
      <c r="B727" s="21"/>
      <c r="C727" s="19"/>
      <c r="E727" s="20"/>
    </row>
    <row r="728">
      <c r="B728" s="21"/>
      <c r="C728" s="19"/>
      <c r="E728" s="20"/>
    </row>
    <row r="729">
      <c r="B729" s="21"/>
      <c r="C729" s="19"/>
      <c r="E729" s="20"/>
    </row>
    <row r="730">
      <c r="B730" s="21"/>
      <c r="C730" s="19"/>
      <c r="E730" s="20"/>
    </row>
    <row r="731">
      <c r="B731" s="21"/>
      <c r="C731" s="19"/>
      <c r="E731" s="20"/>
    </row>
    <row r="732">
      <c r="B732" s="21"/>
      <c r="C732" s="19"/>
      <c r="E732" s="20"/>
    </row>
    <row r="733">
      <c r="B733" s="21"/>
      <c r="C733" s="19"/>
      <c r="E733" s="20"/>
    </row>
    <row r="734">
      <c r="B734" s="21"/>
      <c r="C734" s="19"/>
      <c r="E734" s="20"/>
    </row>
    <row r="735">
      <c r="B735" s="21"/>
      <c r="C735" s="19"/>
      <c r="E735" s="20"/>
    </row>
    <row r="736">
      <c r="B736" s="21"/>
      <c r="C736" s="19"/>
      <c r="E736" s="20"/>
    </row>
    <row r="737">
      <c r="B737" s="21"/>
      <c r="C737" s="19"/>
      <c r="E737" s="20"/>
    </row>
    <row r="738">
      <c r="B738" s="21"/>
      <c r="C738" s="19"/>
      <c r="E738" s="20"/>
    </row>
    <row r="739">
      <c r="B739" s="21"/>
      <c r="C739" s="19"/>
      <c r="E739" s="20"/>
    </row>
    <row r="740">
      <c r="B740" s="21"/>
      <c r="C740" s="19"/>
      <c r="E740" s="20"/>
    </row>
    <row r="741">
      <c r="B741" s="21"/>
      <c r="C741" s="19"/>
      <c r="E741" s="20"/>
    </row>
    <row r="742">
      <c r="B742" s="21"/>
      <c r="C742" s="19"/>
      <c r="E742" s="20"/>
    </row>
    <row r="743">
      <c r="B743" s="21"/>
      <c r="C743" s="19"/>
      <c r="E743" s="20"/>
    </row>
    <row r="744">
      <c r="B744" s="21"/>
      <c r="C744" s="19"/>
      <c r="E744" s="20"/>
    </row>
    <row r="745">
      <c r="B745" s="21"/>
      <c r="C745" s="19"/>
      <c r="E745" s="20"/>
    </row>
    <row r="746">
      <c r="B746" s="21"/>
      <c r="C746" s="19"/>
      <c r="E746" s="20"/>
    </row>
    <row r="747">
      <c r="B747" s="21"/>
      <c r="C747" s="19"/>
      <c r="E747" s="20"/>
    </row>
    <row r="748">
      <c r="B748" s="21"/>
      <c r="C748" s="19"/>
      <c r="E748" s="20"/>
    </row>
    <row r="749">
      <c r="B749" s="21"/>
      <c r="C749" s="19"/>
      <c r="E749" s="20"/>
    </row>
    <row r="750">
      <c r="B750" s="21"/>
      <c r="C750" s="19"/>
      <c r="E750" s="20"/>
    </row>
    <row r="751">
      <c r="B751" s="21"/>
      <c r="C751" s="19"/>
      <c r="E751" s="20"/>
    </row>
    <row r="752">
      <c r="B752" s="21"/>
      <c r="C752" s="19"/>
      <c r="E752" s="20"/>
    </row>
    <row r="753">
      <c r="B753" s="21"/>
      <c r="C753" s="19"/>
      <c r="E753" s="20"/>
    </row>
    <row r="754">
      <c r="B754" s="21"/>
      <c r="C754" s="19"/>
      <c r="E754" s="20"/>
    </row>
    <row r="755">
      <c r="B755" s="21"/>
      <c r="C755" s="19"/>
      <c r="E755" s="20"/>
    </row>
    <row r="756">
      <c r="B756" s="21"/>
      <c r="C756" s="19"/>
      <c r="E756" s="20"/>
    </row>
    <row r="757">
      <c r="B757" s="21"/>
      <c r="C757" s="19"/>
      <c r="E757" s="20"/>
    </row>
    <row r="758">
      <c r="B758" s="21"/>
      <c r="C758" s="19"/>
      <c r="E758" s="20"/>
    </row>
    <row r="759">
      <c r="B759" s="21"/>
      <c r="C759" s="19"/>
      <c r="E759" s="20"/>
    </row>
    <row r="760">
      <c r="B760" s="21"/>
      <c r="C760" s="19"/>
      <c r="E760" s="20"/>
    </row>
    <row r="761">
      <c r="B761" s="21"/>
      <c r="C761" s="19"/>
      <c r="E761" s="20"/>
    </row>
    <row r="762">
      <c r="B762" s="21"/>
      <c r="C762" s="19"/>
      <c r="E762" s="20"/>
    </row>
    <row r="763">
      <c r="B763" s="21"/>
      <c r="C763" s="19"/>
      <c r="E763" s="20"/>
    </row>
    <row r="764">
      <c r="B764" s="21"/>
      <c r="C764" s="19"/>
      <c r="E764" s="20"/>
    </row>
    <row r="765">
      <c r="B765" s="21"/>
      <c r="C765" s="19"/>
      <c r="E765" s="20"/>
    </row>
    <row r="766">
      <c r="B766" s="21"/>
      <c r="C766" s="19"/>
      <c r="E766" s="20"/>
    </row>
    <row r="767">
      <c r="B767" s="21"/>
      <c r="C767" s="19"/>
      <c r="E767" s="20"/>
    </row>
    <row r="768">
      <c r="B768" s="21"/>
      <c r="C768" s="19"/>
      <c r="E768" s="20"/>
    </row>
    <row r="769">
      <c r="B769" s="21"/>
      <c r="C769" s="19"/>
      <c r="E769" s="20"/>
    </row>
    <row r="770">
      <c r="B770" s="21"/>
      <c r="C770" s="19"/>
      <c r="E770" s="20"/>
    </row>
    <row r="771">
      <c r="B771" s="21"/>
      <c r="C771" s="19"/>
      <c r="E771" s="20"/>
    </row>
    <row r="772">
      <c r="B772" s="21"/>
      <c r="C772" s="19"/>
      <c r="E772" s="20"/>
    </row>
    <row r="773">
      <c r="B773" s="21"/>
      <c r="C773" s="19"/>
      <c r="E773" s="20"/>
    </row>
    <row r="774">
      <c r="B774" s="21"/>
      <c r="C774" s="19"/>
      <c r="E774" s="20"/>
    </row>
    <row r="775">
      <c r="B775" s="21"/>
      <c r="C775" s="19"/>
      <c r="E775" s="20"/>
    </row>
    <row r="776">
      <c r="B776" s="21"/>
      <c r="C776" s="19"/>
      <c r="E776" s="20"/>
    </row>
    <row r="777">
      <c r="B777" s="21"/>
      <c r="C777" s="19"/>
      <c r="E777" s="20"/>
    </row>
    <row r="778">
      <c r="B778" s="21"/>
      <c r="C778" s="19"/>
      <c r="E778" s="20"/>
    </row>
    <row r="779">
      <c r="B779" s="21"/>
      <c r="C779" s="19"/>
      <c r="E779" s="20"/>
    </row>
    <row r="780">
      <c r="B780" s="21"/>
      <c r="C780" s="19"/>
      <c r="E780" s="20"/>
    </row>
    <row r="781">
      <c r="B781" s="21"/>
      <c r="C781" s="19"/>
      <c r="E781" s="20"/>
    </row>
    <row r="782">
      <c r="B782" s="21"/>
      <c r="C782" s="19"/>
      <c r="E782" s="20"/>
    </row>
    <row r="783">
      <c r="B783" s="21"/>
      <c r="C783" s="19"/>
      <c r="E783" s="20"/>
    </row>
    <row r="784">
      <c r="B784" s="21"/>
      <c r="C784" s="19"/>
      <c r="E784" s="20"/>
    </row>
    <row r="785">
      <c r="B785" s="21"/>
      <c r="C785" s="19"/>
      <c r="E785" s="20"/>
    </row>
    <row r="786">
      <c r="B786" s="21"/>
      <c r="C786" s="19"/>
      <c r="E786" s="20"/>
    </row>
    <row r="787">
      <c r="B787" s="21"/>
      <c r="C787" s="19"/>
      <c r="E787" s="20"/>
    </row>
    <row r="788">
      <c r="B788" s="21"/>
      <c r="C788" s="19"/>
      <c r="E788" s="20"/>
    </row>
    <row r="789">
      <c r="B789" s="21"/>
      <c r="C789" s="19"/>
      <c r="E789" s="20"/>
    </row>
    <row r="790">
      <c r="B790" s="21"/>
      <c r="C790" s="19"/>
      <c r="E790" s="20"/>
    </row>
    <row r="791">
      <c r="B791" s="21"/>
      <c r="C791" s="19"/>
      <c r="E791" s="20"/>
    </row>
    <row r="792">
      <c r="B792" s="21"/>
      <c r="C792" s="19"/>
      <c r="E792" s="20"/>
    </row>
    <row r="793">
      <c r="B793" s="21"/>
      <c r="C793" s="19"/>
      <c r="E793" s="20"/>
    </row>
    <row r="794">
      <c r="B794" s="21"/>
      <c r="C794" s="19"/>
      <c r="E794" s="20"/>
    </row>
    <row r="795">
      <c r="B795" s="21"/>
      <c r="C795" s="19"/>
      <c r="E795" s="20"/>
    </row>
    <row r="796">
      <c r="B796" s="21"/>
      <c r="C796" s="19"/>
      <c r="E796" s="20"/>
    </row>
    <row r="797">
      <c r="B797" s="21"/>
      <c r="C797" s="19"/>
      <c r="E797" s="20"/>
    </row>
    <row r="798">
      <c r="B798" s="21"/>
      <c r="C798" s="19"/>
      <c r="E798" s="20"/>
    </row>
    <row r="799">
      <c r="B799" s="21"/>
      <c r="C799" s="19"/>
      <c r="E799" s="20"/>
    </row>
    <row r="800">
      <c r="B800" s="21"/>
      <c r="C800" s="19"/>
      <c r="E800" s="20"/>
    </row>
    <row r="801">
      <c r="B801" s="21"/>
      <c r="C801" s="19"/>
      <c r="E801" s="20"/>
    </row>
    <row r="802">
      <c r="B802" s="21"/>
      <c r="C802" s="19"/>
      <c r="E802" s="20"/>
    </row>
    <row r="803">
      <c r="B803" s="21"/>
      <c r="C803" s="19"/>
      <c r="E803" s="20"/>
    </row>
    <row r="804">
      <c r="B804" s="21"/>
      <c r="C804" s="19"/>
      <c r="E804" s="20"/>
    </row>
    <row r="805">
      <c r="B805" s="21"/>
      <c r="C805" s="19"/>
      <c r="E805" s="20"/>
    </row>
    <row r="806">
      <c r="B806" s="21"/>
      <c r="C806" s="19"/>
      <c r="E806" s="20"/>
    </row>
    <row r="807">
      <c r="B807" s="21"/>
      <c r="C807" s="19"/>
      <c r="E807" s="20"/>
    </row>
    <row r="808">
      <c r="B808" s="21"/>
      <c r="C808" s="19"/>
      <c r="E808" s="20"/>
    </row>
    <row r="809">
      <c r="B809" s="21"/>
      <c r="C809" s="19"/>
      <c r="E809" s="20"/>
    </row>
    <row r="810">
      <c r="B810" s="21"/>
      <c r="C810" s="19"/>
      <c r="E810" s="20"/>
    </row>
    <row r="811">
      <c r="B811" s="21"/>
      <c r="C811" s="19"/>
      <c r="E811" s="20"/>
    </row>
    <row r="812">
      <c r="B812" s="21"/>
      <c r="C812" s="19"/>
      <c r="E812" s="20"/>
    </row>
    <row r="813">
      <c r="B813" s="21"/>
      <c r="C813" s="19"/>
      <c r="E813" s="20"/>
    </row>
    <row r="814">
      <c r="B814" s="21"/>
      <c r="C814" s="19"/>
      <c r="E814" s="20"/>
    </row>
    <row r="815">
      <c r="B815" s="21"/>
      <c r="C815" s="19"/>
      <c r="E815" s="20"/>
    </row>
    <row r="816">
      <c r="B816" s="21"/>
      <c r="C816" s="19"/>
      <c r="E816" s="20"/>
    </row>
    <row r="817">
      <c r="B817" s="21"/>
      <c r="C817" s="19"/>
      <c r="E817" s="20"/>
    </row>
    <row r="818">
      <c r="B818" s="21"/>
      <c r="C818" s="19"/>
      <c r="E818" s="20"/>
    </row>
    <row r="819">
      <c r="B819" s="21"/>
      <c r="C819" s="19"/>
      <c r="E819" s="20"/>
    </row>
    <row r="820">
      <c r="B820" s="21"/>
      <c r="C820" s="19"/>
      <c r="E820" s="20"/>
    </row>
    <row r="821">
      <c r="B821" s="21"/>
      <c r="C821" s="19"/>
      <c r="E821" s="20"/>
    </row>
    <row r="822">
      <c r="B822" s="21"/>
      <c r="C822" s="19"/>
      <c r="E822" s="20"/>
    </row>
    <row r="823">
      <c r="B823" s="21"/>
      <c r="C823" s="19"/>
      <c r="E823" s="20"/>
    </row>
    <row r="824">
      <c r="B824" s="21"/>
      <c r="C824" s="19"/>
      <c r="E824" s="20"/>
    </row>
    <row r="825">
      <c r="B825" s="21"/>
      <c r="C825" s="19"/>
      <c r="E825" s="20"/>
    </row>
    <row r="826">
      <c r="B826" s="21"/>
      <c r="C826" s="19"/>
      <c r="E826" s="20"/>
    </row>
    <row r="827">
      <c r="B827" s="21"/>
      <c r="C827" s="19"/>
      <c r="E827" s="20"/>
    </row>
    <row r="828">
      <c r="B828" s="21"/>
      <c r="C828" s="19"/>
      <c r="E828" s="20"/>
    </row>
    <row r="829">
      <c r="B829" s="21"/>
      <c r="C829" s="19"/>
      <c r="E829" s="20"/>
    </row>
    <row r="830">
      <c r="B830" s="21"/>
      <c r="C830" s="19"/>
      <c r="E830" s="20"/>
    </row>
    <row r="831">
      <c r="B831" s="21"/>
      <c r="C831" s="19"/>
      <c r="E831" s="20"/>
    </row>
    <row r="832">
      <c r="B832" s="21"/>
      <c r="C832" s="19"/>
      <c r="E832" s="20"/>
    </row>
    <row r="833">
      <c r="B833" s="21"/>
      <c r="C833" s="19"/>
      <c r="E833" s="20"/>
    </row>
    <row r="834">
      <c r="B834" s="21"/>
      <c r="C834" s="19"/>
      <c r="E834" s="20"/>
    </row>
    <row r="835">
      <c r="B835" s="21"/>
      <c r="C835" s="19"/>
      <c r="E835" s="20"/>
    </row>
    <row r="836">
      <c r="B836" s="21"/>
      <c r="C836" s="19"/>
      <c r="E836" s="20"/>
    </row>
    <row r="837">
      <c r="B837" s="21"/>
      <c r="C837" s="19"/>
      <c r="E837" s="20"/>
    </row>
    <row r="838">
      <c r="B838" s="21"/>
      <c r="C838" s="19"/>
      <c r="E838" s="20"/>
    </row>
    <row r="839">
      <c r="B839" s="21"/>
      <c r="C839" s="19"/>
      <c r="E839" s="20"/>
    </row>
    <row r="840">
      <c r="B840" s="21"/>
      <c r="C840" s="19"/>
      <c r="E840" s="20"/>
    </row>
    <row r="841">
      <c r="B841" s="21"/>
      <c r="C841" s="19"/>
      <c r="E841" s="20"/>
    </row>
    <row r="842">
      <c r="B842" s="21"/>
      <c r="C842" s="19"/>
      <c r="E842" s="20"/>
    </row>
    <row r="843">
      <c r="B843" s="21"/>
      <c r="C843" s="19"/>
      <c r="E843" s="20"/>
    </row>
    <row r="844">
      <c r="B844" s="21"/>
      <c r="C844" s="19"/>
      <c r="E844" s="20"/>
    </row>
    <row r="845">
      <c r="B845" s="21"/>
      <c r="C845" s="19"/>
      <c r="E845" s="20"/>
    </row>
    <row r="846">
      <c r="B846" s="21"/>
      <c r="C846" s="19"/>
      <c r="E846" s="20"/>
    </row>
    <row r="847">
      <c r="B847" s="21"/>
      <c r="C847" s="19"/>
      <c r="E847" s="20"/>
    </row>
    <row r="848">
      <c r="B848" s="21"/>
      <c r="C848" s="19"/>
      <c r="E848" s="20"/>
    </row>
    <row r="849">
      <c r="B849" s="21"/>
      <c r="C849" s="19"/>
      <c r="E849" s="20"/>
    </row>
    <row r="850">
      <c r="B850" s="21"/>
      <c r="C850" s="19"/>
      <c r="E850" s="20"/>
    </row>
    <row r="851">
      <c r="B851" s="21"/>
      <c r="C851" s="19"/>
      <c r="E851" s="20"/>
    </row>
    <row r="852">
      <c r="B852" s="21"/>
      <c r="C852" s="19"/>
      <c r="E852" s="20"/>
    </row>
    <row r="853">
      <c r="B853" s="21"/>
      <c r="C853" s="19"/>
      <c r="E853" s="20"/>
    </row>
    <row r="854">
      <c r="B854" s="21"/>
      <c r="C854" s="19"/>
      <c r="E854" s="20"/>
    </row>
    <row r="855">
      <c r="B855" s="21"/>
      <c r="C855" s="19"/>
      <c r="E855" s="20"/>
    </row>
    <row r="856">
      <c r="B856" s="21"/>
      <c r="C856" s="19"/>
      <c r="E856" s="20"/>
    </row>
    <row r="857">
      <c r="B857" s="21"/>
      <c r="C857" s="19"/>
      <c r="E857" s="20"/>
    </row>
    <row r="858">
      <c r="B858" s="21"/>
      <c r="C858" s="19"/>
      <c r="E858" s="20"/>
    </row>
    <row r="859">
      <c r="B859" s="21"/>
      <c r="C859" s="19"/>
      <c r="E859" s="20"/>
    </row>
    <row r="860">
      <c r="B860" s="21"/>
      <c r="C860" s="19"/>
      <c r="E860" s="20"/>
    </row>
    <row r="861">
      <c r="B861" s="21"/>
      <c r="C861" s="19"/>
      <c r="E861" s="20"/>
    </row>
    <row r="862">
      <c r="B862" s="21"/>
      <c r="C862" s="19"/>
      <c r="E862" s="20"/>
    </row>
    <row r="863">
      <c r="B863" s="21"/>
      <c r="C863" s="19"/>
      <c r="E863" s="20"/>
    </row>
    <row r="864">
      <c r="B864" s="21"/>
      <c r="C864" s="19"/>
      <c r="E864" s="20"/>
    </row>
    <row r="865">
      <c r="B865" s="21"/>
      <c r="C865" s="19"/>
      <c r="E865" s="20"/>
    </row>
    <row r="866">
      <c r="B866" s="21"/>
      <c r="C866" s="19"/>
      <c r="E866" s="20"/>
    </row>
    <row r="867">
      <c r="B867" s="21"/>
      <c r="C867" s="19"/>
      <c r="E867" s="20"/>
    </row>
    <row r="868">
      <c r="B868" s="21"/>
      <c r="C868" s="19"/>
      <c r="E868" s="20"/>
    </row>
    <row r="869">
      <c r="B869" s="21"/>
      <c r="C869" s="19"/>
      <c r="E869" s="20"/>
    </row>
    <row r="870">
      <c r="B870" s="21"/>
      <c r="C870" s="19"/>
      <c r="E870" s="20"/>
    </row>
    <row r="871">
      <c r="B871" s="21"/>
      <c r="C871" s="19"/>
      <c r="E871" s="20"/>
    </row>
    <row r="872">
      <c r="B872" s="21"/>
      <c r="C872" s="19"/>
      <c r="E872" s="20"/>
    </row>
    <row r="873">
      <c r="B873" s="21"/>
      <c r="C873" s="19"/>
      <c r="E873" s="20"/>
    </row>
    <row r="874">
      <c r="B874" s="21"/>
      <c r="C874" s="19"/>
      <c r="E874" s="20"/>
    </row>
    <row r="875">
      <c r="B875" s="21"/>
      <c r="C875" s="19"/>
      <c r="E875" s="20"/>
    </row>
    <row r="876">
      <c r="B876" s="21"/>
      <c r="C876" s="19"/>
      <c r="E876" s="20"/>
    </row>
    <row r="877">
      <c r="B877" s="21"/>
      <c r="C877" s="19"/>
      <c r="E877" s="20"/>
    </row>
    <row r="878">
      <c r="B878" s="21"/>
      <c r="C878" s="19"/>
      <c r="E878" s="20"/>
    </row>
    <row r="879">
      <c r="B879" s="21"/>
      <c r="C879" s="19"/>
      <c r="E879" s="20"/>
    </row>
    <row r="880">
      <c r="B880" s="21"/>
      <c r="C880" s="19"/>
      <c r="E880" s="20"/>
    </row>
    <row r="881">
      <c r="B881" s="21"/>
      <c r="C881" s="19"/>
      <c r="E881" s="20"/>
    </row>
    <row r="882">
      <c r="B882" s="21"/>
      <c r="C882" s="19"/>
      <c r="E882" s="20"/>
    </row>
    <row r="883">
      <c r="B883" s="21"/>
      <c r="C883" s="19"/>
      <c r="E883" s="20"/>
    </row>
    <row r="884">
      <c r="B884" s="21"/>
      <c r="C884" s="19"/>
      <c r="E884" s="20"/>
    </row>
    <row r="885">
      <c r="B885" s="21"/>
      <c r="C885" s="19"/>
      <c r="E885" s="20"/>
    </row>
    <row r="886">
      <c r="B886" s="21"/>
      <c r="C886" s="19"/>
      <c r="E886" s="20"/>
    </row>
    <row r="887">
      <c r="B887" s="21"/>
      <c r="C887" s="19"/>
      <c r="E887" s="20"/>
    </row>
    <row r="888">
      <c r="B888" s="21"/>
      <c r="C888" s="19"/>
      <c r="E888" s="20"/>
    </row>
    <row r="889">
      <c r="B889" s="21"/>
      <c r="C889" s="19"/>
      <c r="E889" s="20"/>
    </row>
    <row r="890">
      <c r="B890" s="21"/>
      <c r="C890" s="19"/>
      <c r="E890" s="20"/>
    </row>
    <row r="891">
      <c r="B891" s="21"/>
      <c r="C891" s="19"/>
      <c r="E891" s="20"/>
    </row>
    <row r="892">
      <c r="B892" s="21"/>
      <c r="C892" s="19"/>
      <c r="E892" s="20"/>
    </row>
    <row r="893">
      <c r="B893" s="21"/>
      <c r="C893" s="19"/>
      <c r="E893" s="20"/>
    </row>
    <row r="894">
      <c r="B894" s="21"/>
      <c r="C894" s="19"/>
      <c r="E894" s="20"/>
    </row>
    <row r="895">
      <c r="B895" s="21"/>
      <c r="C895" s="19"/>
      <c r="E895" s="20"/>
    </row>
    <row r="896">
      <c r="B896" s="21"/>
      <c r="C896" s="19"/>
      <c r="E896" s="20"/>
    </row>
    <row r="897">
      <c r="B897" s="21"/>
      <c r="C897" s="19"/>
      <c r="E897" s="20"/>
    </row>
    <row r="898">
      <c r="B898" s="21"/>
      <c r="C898" s="19"/>
      <c r="E898" s="20"/>
    </row>
    <row r="899">
      <c r="B899" s="21"/>
      <c r="C899" s="19"/>
      <c r="E899" s="20"/>
    </row>
    <row r="900">
      <c r="B900" s="21"/>
      <c r="C900" s="19"/>
      <c r="E900" s="20"/>
    </row>
    <row r="901">
      <c r="B901" s="21"/>
      <c r="C901" s="19"/>
      <c r="E901" s="20"/>
    </row>
    <row r="902">
      <c r="B902" s="21"/>
      <c r="C902" s="19"/>
      <c r="E902" s="20"/>
    </row>
    <row r="903">
      <c r="B903" s="21"/>
      <c r="C903" s="19"/>
      <c r="E903" s="20"/>
    </row>
    <row r="904">
      <c r="B904" s="21"/>
      <c r="C904" s="19"/>
      <c r="E904" s="20"/>
    </row>
    <row r="905">
      <c r="B905" s="21"/>
      <c r="C905" s="19"/>
      <c r="E905" s="20"/>
    </row>
    <row r="906">
      <c r="B906" s="21"/>
      <c r="C906" s="19"/>
      <c r="E906" s="20"/>
    </row>
    <row r="907">
      <c r="B907" s="21"/>
      <c r="C907" s="19"/>
      <c r="E907" s="20"/>
    </row>
    <row r="908">
      <c r="B908" s="21"/>
      <c r="C908" s="19"/>
      <c r="E908" s="20"/>
    </row>
    <row r="909">
      <c r="B909" s="21"/>
      <c r="C909" s="19"/>
      <c r="E909" s="20"/>
    </row>
    <row r="910">
      <c r="B910" s="21"/>
      <c r="C910" s="19"/>
      <c r="E910" s="20"/>
    </row>
    <row r="911">
      <c r="B911" s="21"/>
      <c r="C911" s="19"/>
      <c r="E911" s="20"/>
    </row>
    <row r="912">
      <c r="B912" s="21"/>
      <c r="C912" s="19"/>
      <c r="E912" s="20"/>
    </row>
    <row r="913">
      <c r="B913" s="21"/>
      <c r="C913" s="19"/>
      <c r="E913" s="20"/>
    </row>
    <row r="914">
      <c r="B914" s="21"/>
      <c r="C914" s="19"/>
      <c r="E914" s="20"/>
    </row>
    <row r="915">
      <c r="B915" s="21"/>
      <c r="C915" s="19"/>
      <c r="E915" s="20"/>
    </row>
    <row r="916">
      <c r="B916" s="21"/>
      <c r="C916" s="19"/>
      <c r="E916" s="20"/>
    </row>
    <row r="917">
      <c r="B917" s="21"/>
      <c r="C917" s="19"/>
      <c r="E917" s="20"/>
    </row>
    <row r="918">
      <c r="B918" s="21"/>
      <c r="C918" s="19"/>
      <c r="E918" s="20"/>
    </row>
    <row r="919">
      <c r="B919" s="21"/>
      <c r="C919" s="19"/>
      <c r="E919" s="20"/>
    </row>
    <row r="920">
      <c r="B920" s="21"/>
      <c r="C920" s="19"/>
      <c r="E920" s="20"/>
    </row>
    <row r="921">
      <c r="B921" s="21"/>
      <c r="C921" s="19"/>
      <c r="E921" s="20"/>
    </row>
    <row r="922">
      <c r="B922" s="21"/>
      <c r="C922" s="19"/>
      <c r="E922" s="20"/>
    </row>
    <row r="923">
      <c r="B923" s="21"/>
      <c r="C923" s="19"/>
      <c r="E923" s="20"/>
    </row>
    <row r="924">
      <c r="B924" s="21"/>
      <c r="C924" s="19"/>
      <c r="E924" s="20"/>
    </row>
    <row r="925">
      <c r="B925" s="21"/>
      <c r="C925" s="19"/>
      <c r="E925" s="20"/>
    </row>
    <row r="926">
      <c r="B926" s="21"/>
      <c r="C926" s="19"/>
      <c r="E926" s="20"/>
    </row>
    <row r="927">
      <c r="B927" s="21"/>
      <c r="C927" s="19"/>
      <c r="E927" s="20"/>
    </row>
    <row r="928">
      <c r="B928" s="21"/>
      <c r="C928" s="19"/>
      <c r="E928" s="20"/>
    </row>
    <row r="929">
      <c r="B929" s="21"/>
      <c r="C929" s="19"/>
      <c r="E929" s="20"/>
    </row>
    <row r="930">
      <c r="B930" s="21"/>
      <c r="C930" s="19"/>
      <c r="E930" s="20"/>
    </row>
    <row r="931">
      <c r="B931" s="21"/>
      <c r="C931" s="19"/>
      <c r="E931" s="20"/>
    </row>
    <row r="932">
      <c r="B932" s="21"/>
      <c r="C932" s="19"/>
      <c r="E932" s="20"/>
    </row>
    <row r="933">
      <c r="B933" s="21"/>
      <c r="C933" s="19"/>
      <c r="E933" s="20"/>
    </row>
    <row r="934">
      <c r="B934" s="21"/>
      <c r="C934" s="19"/>
      <c r="E934" s="20"/>
    </row>
    <row r="935">
      <c r="B935" s="21"/>
      <c r="C935" s="19"/>
      <c r="E935" s="20"/>
    </row>
    <row r="936">
      <c r="B936" s="21"/>
      <c r="C936" s="19"/>
      <c r="E936" s="20"/>
    </row>
    <row r="937">
      <c r="B937" s="21"/>
      <c r="C937" s="19"/>
      <c r="E937" s="20"/>
    </row>
    <row r="938">
      <c r="B938" s="21"/>
      <c r="C938" s="19"/>
      <c r="E938" s="20"/>
    </row>
    <row r="939">
      <c r="B939" s="21"/>
      <c r="C939" s="19"/>
      <c r="E939" s="20"/>
    </row>
    <row r="940">
      <c r="B940" s="21"/>
      <c r="C940" s="19"/>
      <c r="E940" s="20"/>
    </row>
    <row r="941">
      <c r="B941" s="21"/>
      <c r="C941" s="19"/>
      <c r="E941" s="20"/>
    </row>
    <row r="942">
      <c r="B942" s="21"/>
      <c r="C942" s="19"/>
      <c r="E942" s="20"/>
    </row>
    <row r="943">
      <c r="B943" s="21"/>
      <c r="C943" s="19"/>
      <c r="E943" s="20"/>
    </row>
    <row r="944">
      <c r="B944" s="21"/>
      <c r="C944" s="19"/>
      <c r="E944" s="20"/>
    </row>
    <row r="945">
      <c r="B945" s="21"/>
      <c r="C945" s="19"/>
      <c r="E945" s="20"/>
    </row>
    <row r="946">
      <c r="B946" s="21"/>
      <c r="C946" s="19"/>
      <c r="E946" s="20"/>
    </row>
    <row r="947">
      <c r="B947" s="21"/>
      <c r="C947" s="19"/>
      <c r="E947" s="20"/>
    </row>
    <row r="948">
      <c r="B948" s="21"/>
      <c r="C948" s="19"/>
      <c r="E948" s="20"/>
    </row>
    <row r="949">
      <c r="B949" s="21"/>
      <c r="C949" s="19"/>
      <c r="E949" s="20"/>
    </row>
    <row r="950">
      <c r="B950" s="21"/>
      <c r="C950" s="19"/>
      <c r="E950" s="20"/>
    </row>
    <row r="951">
      <c r="B951" s="21"/>
      <c r="C951" s="19"/>
      <c r="E951" s="20"/>
    </row>
    <row r="952">
      <c r="B952" s="21"/>
      <c r="C952" s="19"/>
      <c r="E952" s="20"/>
    </row>
    <row r="953">
      <c r="B953" s="21"/>
      <c r="C953" s="19"/>
      <c r="E953" s="20"/>
    </row>
    <row r="954">
      <c r="B954" s="21"/>
      <c r="C954" s="19"/>
      <c r="E954" s="20"/>
    </row>
    <row r="955">
      <c r="B955" s="21"/>
      <c r="C955" s="19"/>
      <c r="E955" s="20"/>
    </row>
    <row r="956">
      <c r="B956" s="21"/>
      <c r="C956" s="19"/>
      <c r="E956" s="20"/>
    </row>
    <row r="957">
      <c r="B957" s="21"/>
      <c r="C957" s="19"/>
      <c r="E957" s="20"/>
    </row>
    <row r="958">
      <c r="B958" s="21"/>
      <c r="C958" s="19"/>
      <c r="E958" s="20"/>
    </row>
    <row r="959">
      <c r="B959" s="21"/>
      <c r="C959" s="19"/>
      <c r="E959" s="20"/>
    </row>
    <row r="960">
      <c r="B960" s="21"/>
      <c r="C960" s="19"/>
      <c r="E960" s="20"/>
    </row>
    <row r="961">
      <c r="B961" s="21"/>
      <c r="C961" s="19"/>
      <c r="E961" s="20"/>
    </row>
    <row r="962">
      <c r="B962" s="21"/>
      <c r="C962" s="19"/>
      <c r="E962" s="20"/>
    </row>
    <row r="963">
      <c r="B963" s="21"/>
      <c r="C963" s="19"/>
      <c r="E963" s="20"/>
    </row>
    <row r="964">
      <c r="B964" s="21"/>
      <c r="C964" s="19"/>
      <c r="E964" s="20"/>
    </row>
    <row r="965">
      <c r="B965" s="21"/>
      <c r="C965" s="19"/>
      <c r="E965" s="20"/>
    </row>
    <row r="966">
      <c r="B966" s="21"/>
      <c r="C966" s="19"/>
      <c r="E966" s="20"/>
    </row>
    <row r="967">
      <c r="B967" s="21"/>
      <c r="C967" s="19"/>
      <c r="E967" s="20"/>
    </row>
    <row r="968">
      <c r="B968" s="21"/>
      <c r="C968" s="19"/>
      <c r="E968" s="20"/>
    </row>
    <row r="969">
      <c r="B969" s="21"/>
      <c r="C969" s="19"/>
      <c r="E969" s="20"/>
    </row>
    <row r="970">
      <c r="B970" s="21"/>
      <c r="C970" s="19"/>
      <c r="E970" s="20"/>
    </row>
    <row r="971">
      <c r="B971" s="21"/>
      <c r="C971" s="19"/>
      <c r="E971" s="20"/>
    </row>
    <row r="972">
      <c r="B972" s="21"/>
      <c r="C972" s="19"/>
      <c r="E972" s="20"/>
    </row>
    <row r="973">
      <c r="B973" s="21"/>
      <c r="C973" s="19"/>
      <c r="E973" s="20"/>
    </row>
    <row r="974">
      <c r="B974" s="21"/>
      <c r="C974" s="19"/>
      <c r="E974" s="20"/>
    </row>
    <row r="975">
      <c r="B975" s="21"/>
      <c r="C975" s="19"/>
      <c r="E975" s="20"/>
    </row>
    <row r="976">
      <c r="B976" s="21"/>
      <c r="C976" s="19"/>
      <c r="E976" s="20"/>
    </row>
    <row r="977">
      <c r="B977" s="21"/>
      <c r="C977" s="19"/>
      <c r="E977" s="20"/>
    </row>
    <row r="978">
      <c r="B978" s="21"/>
      <c r="C978" s="19"/>
      <c r="E978" s="20"/>
    </row>
    <row r="979">
      <c r="B979" s="21"/>
      <c r="C979" s="19"/>
      <c r="E979" s="20"/>
    </row>
    <row r="980">
      <c r="B980" s="21"/>
      <c r="C980" s="19"/>
      <c r="E980" s="20"/>
    </row>
    <row r="981">
      <c r="B981" s="21"/>
      <c r="C981" s="19"/>
      <c r="E981" s="20"/>
    </row>
    <row r="982">
      <c r="B982" s="21"/>
      <c r="C982" s="19"/>
      <c r="E982" s="20"/>
    </row>
    <row r="983">
      <c r="B983" s="21"/>
      <c r="C983" s="19"/>
      <c r="E983" s="20"/>
    </row>
    <row r="984">
      <c r="B984" s="21"/>
      <c r="C984" s="19"/>
      <c r="E984" s="20"/>
    </row>
    <row r="985">
      <c r="B985" s="21"/>
      <c r="C985" s="19"/>
      <c r="E985" s="20"/>
    </row>
    <row r="986">
      <c r="B986" s="21"/>
      <c r="C986" s="19"/>
      <c r="E986" s="20"/>
    </row>
    <row r="987">
      <c r="B987" s="21"/>
      <c r="C987" s="19"/>
      <c r="E987" s="20"/>
    </row>
    <row r="988">
      <c r="B988" s="21"/>
      <c r="C988" s="19"/>
      <c r="E988" s="20"/>
    </row>
    <row r="989">
      <c r="B989" s="21"/>
      <c r="C989" s="19"/>
      <c r="E989" s="20"/>
    </row>
    <row r="990">
      <c r="B990" s="21"/>
      <c r="C990" s="19"/>
      <c r="E990" s="20"/>
    </row>
    <row r="991">
      <c r="B991" s="21"/>
      <c r="C991" s="19"/>
      <c r="E991" s="20"/>
    </row>
    <row r="992">
      <c r="B992" s="21"/>
      <c r="C992" s="19"/>
      <c r="E992" s="20"/>
    </row>
    <row r="993">
      <c r="B993" s="21"/>
      <c r="C993" s="19"/>
      <c r="E993" s="20"/>
    </row>
    <row r="994">
      <c r="B994" s="21"/>
      <c r="C994" s="19"/>
      <c r="E994" s="20"/>
    </row>
    <row r="995">
      <c r="B995" s="21"/>
      <c r="C995" s="19"/>
      <c r="E995" s="20"/>
    </row>
    <row r="996">
      <c r="B996" s="21"/>
      <c r="C996" s="19"/>
      <c r="E996" s="20"/>
    </row>
    <row r="997">
      <c r="B997" s="21"/>
      <c r="C997" s="19"/>
      <c r="E997" s="20"/>
    </row>
    <row r="998">
      <c r="B998" s="21"/>
      <c r="C998" s="19"/>
      <c r="E998" s="20"/>
    </row>
    <row r="999">
      <c r="B999" s="21"/>
      <c r="C999" s="19"/>
      <c r="E999" s="20"/>
    </row>
    <row r="1000">
      <c r="B1000" s="21"/>
      <c r="C1000" s="19"/>
      <c r="E1000" s="20"/>
    </row>
  </sheetData>
  <drawing r:id="rId1"/>
  <extLst>
    <ext uri="{05C60535-1F16-4fd2-B633-F4F36F0B64E0}">
      <x14:sparklineGroups>
        <x14:sparklineGroup type="column" displayEmptyCellsAs="gap">
          <x14:colorSeries rgb="FFFF0000"/>
          <x14:sparklines>
            <x14:sparkline>
              <xm:f>vitrata_domasne!C2:C101</xm:f>
              <xm:sqref>T2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6.88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1.13"/>
  </cols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8.75"/>
    <col customWidth="1" min="3" max="3" width="17.0"/>
    <col customWidth="1" min="4" max="4" width="36.75"/>
  </cols>
  <sheetData>
    <row r="1">
      <c r="A1" s="22" t="s">
        <v>68</v>
      </c>
      <c r="B1" s="17"/>
      <c r="C1" s="17"/>
      <c r="D1" s="17"/>
    </row>
    <row r="2">
      <c r="A2" s="17"/>
      <c r="B2" s="17"/>
      <c r="C2" s="17"/>
      <c r="D2" s="17"/>
    </row>
    <row r="3">
      <c r="A3" s="23" t="str">
        <f t="array" ref="A3:C4">KPI_SUM_MAX_COUNT</f>
        <v>Загальна сума</v>
      </c>
      <c r="B3" s="23" t="s">
        <v>7</v>
      </c>
      <c r="C3" s="23" t="s">
        <v>8</v>
      </c>
      <c r="D3" s="23" t="str">
        <f t="array" ref="D3:D4">KPI_SUM_TREND</f>
        <v>Коливання суми чеку</v>
      </c>
    </row>
    <row r="4">
      <c r="A4" s="16">
        <v>102575.0</v>
      </c>
      <c r="B4" s="16">
        <v>1793.0</v>
      </c>
      <c r="C4" s="17">
        <v>100.0</v>
      </c>
      <c r="D4" s="15"/>
    </row>
    <row r="6">
      <c r="B6" s="24" t="s">
        <v>69</v>
      </c>
    </row>
    <row r="7">
      <c r="B7" s="25" t="str">
        <f t="array" ref="B7:G22">'Pivot Table 1'!A1:F16</f>
        <v>Місто</v>
      </c>
      <c r="C7" s="25" t="s">
        <v>65</v>
      </c>
      <c r="D7" s="15"/>
      <c r="E7" s="15"/>
      <c r="F7" s="15"/>
      <c r="G7" s="15"/>
    </row>
    <row r="8">
      <c r="B8" s="21" t="s">
        <v>14</v>
      </c>
      <c r="C8" s="19">
        <v>30972.0</v>
      </c>
      <c r="D8" s="15"/>
      <c r="E8" s="15"/>
      <c r="F8" s="15"/>
      <c r="G8" s="15"/>
    </row>
    <row r="9">
      <c r="B9" s="21" t="s">
        <v>23</v>
      </c>
      <c r="C9" s="19">
        <v>19264.0</v>
      </c>
      <c r="D9" s="15"/>
      <c r="E9" s="15"/>
      <c r="F9" s="15"/>
      <c r="G9" s="15"/>
    </row>
    <row r="10">
      <c r="B10" s="21" t="s">
        <v>21</v>
      </c>
      <c r="C10" s="19">
        <v>30371.0</v>
      </c>
      <c r="D10" s="15"/>
      <c r="E10" s="15"/>
      <c r="F10" s="15"/>
      <c r="G10" s="15"/>
    </row>
    <row r="11">
      <c r="B11" s="21" t="s">
        <v>17</v>
      </c>
      <c r="C11" s="19">
        <v>21968.0</v>
      </c>
      <c r="D11" s="15"/>
      <c r="E11" s="15"/>
      <c r="F11" s="15"/>
      <c r="G11" s="15"/>
    </row>
    <row r="12">
      <c r="B12" s="26" t="s">
        <v>66</v>
      </c>
      <c r="C12" s="27">
        <v>102575.0</v>
      </c>
      <c r="D12" s="15"/>
      <c r="E12" s="15"/>
      <c r="F12" s="15"/>
      <c r="G12" s="15"/>
    </row>
    <row r="13">
      <c r="B13" s="15"/>
      <c r="C13" s="15"/>
      <c r="D13" s="15"/>
      <c r="E13" s="15"/>
      <c r="F13" s="15"/>
      <c r="G13" s="15"/>
    </row>
    <row r="14">
      <c r="B14" s="15"/>
      <c r="C14" s="15"/>
      <c r="D14" s="15"/>
      <c r="E14" s="15"/>
      <c r="F14" s="15"/>
      <c r="G14" s="15"/>
    </row>
    <row r="15">
      <c r="B15" s="15"/>
      <c r="C15" s="15"/>
      <c r="D15" s="15"/>
      <c r="E15" s="15"/>
      <c r="F15" s="15"/>
      <c r="G15" s="15"/>
    </row>
    <row r="16">
      <c r="B16" s="15"/>
      <c r="C16" s="15"/>
      <c r="D16" s="15"/>
      <c r="E16" s="15"/>
      <c r="F16" s="15"/>
      <c r="G16" s="15"/>
    </row>
    <row r="17">
      <c r="B17" s="15"/>
      <c r="C17" s="15"/>
      <c r="D17" s="15"/>
      <c r="E17" s="15"/>
      <c r="F17" s="15"/>
      <c r="G17" s="15"/>
    </row>
    <row r="18">
      <c r="B18" s="15"/>
      <c r="C18" s="15"/>
      <c r="D18" s="15"/>
      <c r="E18" s="15"/>
      <c r="F18" s="15"/>
      <c r="G18" s="15"/>
    </row>
    <row r="19">
      <c r="B19" s="15"/>
      <c r="C19" s="15"/>
      <c r="D19" s="15"/>
      <c r="E19" s="15"/>
      <c r="F19" s="15"/>
      <c r="G19" s="15"/>
    </row>
    <row r="20">
      <c r="B20" s="15"/>
      <c r="C20" s="15"/>
      <c r="D20" s="15"/>
      <c r="E20" s="15"/>
      <c r="F20" s="15"/>
      <c r="G20" s="15"/>
    </row>
    <row r="21">
      <c r="B21" s="15"/>
      <c r="C21" s="15"/>
      <c r="D21" s="15"/>
      <c r="E21" s="15"/>
      <c r="F21" s="15"/>
      <c r="G21" s="15"/>
    </row>
    <row r="22">
      <c r="B22" s="11"/>
      <c r="C22" s="15"/>
      <c r="D22" s="15"/>
      <c r="E22" s="15"/>
      <c r="F22" s="15"/>
      <c r="G22" s="15"/>
    </row>
    <row r="23">
      <c r="B23" s="24" t="s">
        <v>70</v>
      </c>
    </row>
    <row r="24">
      <c r="B24" s="28" t="str">
        <f t="array" ref="B24:F33">'Pivot Table 2'!A1:E10</f>
        <v>Категорія</v>
      </c>
      <c r="C24" s="29" t="s">
        <v>67</v>
      </c>
      <c r="D24" s="15"/>
      <c r="E24" s="15"/>
      <c r="F24" s="15"/>
    </row>
    <row r="25">
      <c r="B25" s="21" t="s">
        <v>13</v>
      </c>
      <c r="C25" s="19">
        <v>1073.1025641025642</v>
      </c>
      <c r="D25" s="15"/>
      <c r="E25" s="15"/>
      <c r="F25" s="15"/>
    </row>
    <row r="26">
      <c r="B26" s="21" t="s">
        <v>16</v>
      </c>
      <c r="C26" s="19">
        <v>940.1612903225806</v>
      </c>
      <c r="D26" s="15"/>
      <c r="E26" s="15"/>
      <c r="F26" s="15"/>
    </row>
    <row r="27">
      <c r="B27" s="21" t="s">
        <v>20</v>
      </c>
      <c r="C27" s="19">
        <v>1052.6333333333334</v>
      </c>
      <c r="D27" s="15"/>
      <c r="E27" s="15"/>
      <c r="F27" s="15"/>
    </row>
    <row r="28">
      <c r="B28" s="26" t="s">
        <v>66</v>
      </c>
      <c r="C28" s="27">
        <v>1025.75</v>
      </c>
      <c r="D28" s="15"/>
      <c r="E28" s="15"/>
      <c r="F28" s="15"/>
    </row>
    <row r="29">
      <c r="B29" s="15"/>
      <c r="C29" s="15"/>
      <c r="D29" s="15"/>
      <c r="E29" s="15"/>
      <c r="F29" s="15"/>
    </row>
    <row r="30">
      <c r="B30" s="15"/>
      <c r="C30" s="15"/>
      <c r="D30" s="15"/>
      <c r="E30" s="15"/>
      <c r="F30" s="15"/>
    </row>
    <row r="31">
      <c r="B31" s="15"/>
      <c r="C31" s="15"/>
      <c r="D31" s="15"/>
      <c r="E31" s="15"/>
      <c r="F31" s="15"/>
    </row>
    <row r="32">
      <c r="B32" s="15"/>
      <c r="C32" s="15"/>
      <c r="D32" s="15"/>
      <c r="E32" s="15"/>
      <c r="F32" s="15"/>
    </row>
    <row r="33">
      <c r="B33" s="15"/>
      <c r="C33" s="15"/>
      <c r="D33" s="15"/>
      <c r="E33" s="15"/>
      <c r="F33" s="15"/>
    </row>
  </sheetData>
  <drawing r:id="rId1"/>
</worksheet>
</file>