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raw_data_edited" sheetId="2" r:id="rId6"/>
    <sheet state="visible" name="statistics_analysis" sheetId="3" r:id="rId7"/>
    <sheet state="visible" name="explanation" sheetId="4" r:id="rId8"/>
  </sheets>
  <definedNames>
    <definedName hidden="1" localSheetId="0" name="_xlnm._FilterDatabase">raw_data!$A$1:$D$1000</definedName>
    <definedName hidden="1" localSheetId="1" name="_xlnm._FilterDatabase">raw_data_edited!$A$1:$E$501</definedName>
  </definedNames>
  <calcPr/>
</workbook>
</file>

<file path=xl/sharedStrings.xml><?xml version="1.0" encoding="utf-8"?>
<sst xmlns="http://schemas.openxmlformats.org/spreadsheetml/2006/main" count="1015" uniqueCount="519">
  <si>
    <t>user_id</t>
  </si>
  <si>
    <t>sessions</t>
  </si>
  <si>
    <t>payments</t>
  </si>
  <si>
    <t>game_time_minutes</t>
  </si>
  <si>
    <t>1d60048e</t>
  </si>
  <si>
    <t>811a2f2a</t>
  </si>
  <si>
    <t>6e68de94</t>
  </si>
  <si>
    <t>7b235456</t>
  </si>
  <si>
    <t>8337899e</t>
  </si>
  <si>
    <t>759a5069</t>
  </si>
  <si>
    <t>4c9d013e</t>
  </si>
  <si>
    <t>4026f24f</t>
  </si>
  <si>
    <t>669e8315</t>
  </si>
  <si>
    <t>0d88ee75</t>
  </si>
  <si>
    <t>e2378c6f</t>
  </si>
  <si>
    <t>6b94e85b</t>
  </si>
  <si>
    <t>6e45e7d5</t>
  </si>
  <si>
    <t>54090cc3</t>
  </si>
  <si>
    <t>7481e45c</t>
  </si>
  <si>
    <t>eccdf5ae</t>
  </si>
  <si>
    <t>76891cee</t>
  </si>
  <si>
    <t>4f58208b</t>
  </si>
  <si>
    <t>01b2e085</t>
  </si>
  <si>
    <t>546fb065</t>
  </si>
  <si>
    <t>03e96928</t>
  </si>
  <si>
    <t>c0ffb1c2</t>
  </si>
  <si>
    <t>01a81cf4</t>
  </si>
  <si>
    <t>610cc820</t>
  </si>
  <si>
    <t>34de7d56</t>
  </si>
  <si>
    <t>ae5f54b2</t>
  </si>
  <si>
    <t>12d050c7</t>
  </si>
  <si>
    <t>9123e27d</t>
  </si>
  <si>
    <t>638be16d</t>
  </si>
  <si>
    <t>9776d477</t>
  </si>
  <si>
    <t>4aa8ba3a</t>
  </si>
  <si>
    <t>9f561ef9</t>
  </si>
  <si>
    <t>ef524e8e</t>
  </si>
  <si>
    <t>e8284a86</t>
  </si>
  <si>
    <t>c185dea0</t>
  </si>
  <si>
    <t>968c1344</t>
  </si>
  <si>
    <t>93b41fb0</t>
  </si>
  <si>
    <t>9430f323</t>
  </si>
  <si>
    <t>b0a45bdc</t>
  </si>
  <si>
    <t>998c6b42</t>
  </si>
  <si>
    <t>8f161017</t>
  </si>
  <si>
    <t>28df8147</t>
  </si>
  <si>
    <t>6932221e</t>
  </si>
  <si>
    <t>ef7d7144</t>
  </si>
  <si>
    <t>1fb2537c</t>
  </si>
  <si>
    <t>101f5728</t>
  </si>
  <si>
    <t>ecdd3e5b</t>
  </si>
  <si>
    <t>43ec3229</t>
  </si>
  <si>
    <t>c96b54b8</t>
  </si>
  <si>
    <t>85a21042</t>
  </si>
  <si>
    <t>1d80c16e</t>
  </si>
  <si>
    <t>840d59a0</t>
  </si>
  <si>
    <t>db7b71c7</t>
  </si>
  <si>
    <t>493feba2</t>
  </si>
  <si>
    <t>4475d80f</t>
  </si>
  <si>
    <t>9a8bf660</t>
  </si>
  <si>
    <t>a63036de</t>
  </si>
  <si>
    <t>c2d19bca</t>
  </si>
  <si>
    <t>2f02bd19</t>
  </si>
  <si>
    <t>f0f58b4e</t>
  </si>
  <si>
    <t>57b10f86</t>
  </si>
  <si>
    <t>bae0c918</t>
  </si>
  <si>
    <t>bbb492d7</t>
  </si>
  <si>
    <t>cb81de2e</t>
  </si>
  <si>
    <t>a8101656</t>
  </si>
  <si>
    <t>3a57ee99</t>
  </si>
  <si>
    <t>8b5d3852</t>
  </si>
  <si>
    <t>f27733d5</t>
  </si>
  <si>
    <t>33bde636</t>
  </si>
  <si>
    <t>fbcdc01b</t>
  </si>
  <si>
    <t>31dc3508</t>
  </si>
  <si>
    <t>e6d4407b</t>
  </si>
  <si>
    <t>6e33e629</t>
  </si>
  <si>
    <t>23d53a24</t>
  </si>
  <si>
    <t>2322cc52</t>
  </si>
  <si>
    <t>c5077b74</t>
  </si>
  <si>
    <t>921d1d76</t>
  </si>
  <si>
    <t>9ac62214</t>
  </si>
  <si>
    <t>50bf44a4</t>
  </si>
  <si>
    <t>beabe8ed</t>
  </si>
  <si>
    <t>2ec025d9</t>
  </si>
  <si>
    <t>1003f78c</t>
  </si>
  <si>
    <t>d0bf9791</t>
  </si>
  <si>
    <t>1cac7266</t>
  </si>
  <si>
    <t>55f64c82</t>
  </si>
  <si>
    <t>4efb1e3b</t>
  </si>
  <si>
    <t>da0b7a07</t>
  </si>
  <si>
    <t>059504b0</t>
  </si>
  <si>
    <t>4cb06a50</t>
  </si>
  <si>
    <t>e9d203ef</t>
  </si>
  <si>
    <t>753ed5f5</t>
  </si>
  <si>
    <t>3eee8e3f</t>
  </si>
  <si>
    <t>ee6ec3d7</t>
  </si>
  <si>
    <t>18b298ce</t>
  </si>
  <si>
    <t>c796bc91</t>
  </si>
  <si>
    <t>b73546ef</t>
  </si>
  <si>
    <t>65d0ee1a</t>
  </si>
  <si>
    <t>829d5df7</t>
  </si>
  <si>
    <t>b10848b2</t>
  </si>
  <si>
    <t>a2a45a90</t>
  </si>
  <si>
    <t>76af5bab</t>
  </si>
  <si>
    <t>e03731cb</t>
  </si>
  <si>
    <t>050cc34c</t>
  </si>
  <si>
    <t>9d51415c</t>
  </si>
  <si>
    <t>8aa69532</t>
  </si>
  <si>
    <t>3e878d03</t>
  </si>
  <si>
    <t>7cb4c055</t>
  </si>
  <si>
    <t>8acbcb61</t>
  </si>
  <si>
    <t>7210d305</t>
  </si>
  <si>
    <t>8411b011</t>
  </si>
  <si>
    <t>b8bec59f</t>
  </si>
  <si>
    <t>24e01fd2</t>
  </si>
  <si>
    <t>8b5f76f6</t>
  </si>
  <si>
    <t>c5f2f19d</t>
  </si>
  <si>
    <t>280148ad</t>
  </si>
  <si>
    <t>05ff51bd</t>
  </si>
  <si>
    <t>9425bcff</t>
  </si>
  <si>
    <t>bb4c60c1</t>
  </si>
  <si>
    <t>0dbf96db</t>
  </si>
  <si>
    <t>9063d423</t>
  </si>
  <si>
    <t>153d1109</t>
  </si>
  <si>
    <t>5db0dab5</t>
  </si>
  <si>
    <t>f9cc7a07</t>
  </si>
  <si>
    <t>9456b0f0</t>
  </si>
  <si>
    <t>78d37e1c</t>
  </si>
  <si>
    <t>aa168152</t>
  </si>
  <si>
    <t>a8b0e10b</t>
  </si>
  <si>
    <t>f121b6bd</t>
  </si>
  <si>
    <t>4e1bf6c0</t>
  </si>
  <si>
    <t>e178121a</t>
  </si>
  <si>
    <t>6ee4ff73</t>
  </si>
  <si>
    <t>dae31ae8</t>
  </si>
  <si>
    <t>c248f3a4</t>
  </si>
  <si>
    <t>41977f19</t>
  </si>
  <si>
    <t>4b457ee1</t>
  </si>
  <si>
    <t>80e2ca91</t>
  </si>
  <si>
    <t>350aa310</t>
  </si>
  <si>
    <t>7ff986a4</t>
  </si>
  <si>
    <t>9989b527</t>
  </si>
  <si>
    <t>81ff8b45</t>
  </si>
  <si>
    <t>01e54d2f</t>
  </si>
  <si>
    <t>269ed5af</t>
  </si>
  <si>
    <t>d174f661</t>
  </si>
  <si>
    <t>b330381a</t>
  </si>
  <si>
    <t>b74249b3</t>
  </si>
  <si>
    <t>7c3b5c13</t>
  </si>
  <si>
    <t>a1cc4258</t>
  </si>
  <si>
    <t>f662a3d3</t>
  </si>
  <si>
    <t>ac941a2e</t>
  </si>
  <si>
    <t>a4133737</t>
  </si>
  <si>
    <t>8dac2dba</t>
  </si>
  <si>
    <t>0f35f774</t>
  </si>
  <si>
    <t>3296f644</t>
  </si>
  <si>
    <t>2f38c2d7</t>
  </si>
  <si>
    <t>dfb3dbe0</t>
  </si>
  <si>
    <t>394f4c6f</t>
  </si>
  <si>
    <t>32b580cd</t>
  </si>
  <si>
    <t>fa887b8c</t>
  </si>
  <si>
    <t>cff4be04</t>
  </si>
  <si>
    <t>40805fd5</t>
  </si>
  <si>
    <t>25c1fb4d</t>
  </si>
  <si>
    <t>aa845d1f</t>
  </si>
  <si>
    <t>8026677d</t>
  </si>
  <si>
    <t>517f1992</t>
  </si>
  <si>
    <t>a8698a68</t>
  </si>
  <si>
    <t>69e0124d</t>
  </si>
  <si>
    <t>504a9c64</t>
  </si>
  <si>
    <t>c27e28e4</t>
  </si>
  <si>
    <t>7e7dea93</t>
  </si>
  <si>
    <t>b6b66e47</t>
  </si>
  <si>
    <t>0ccda666</t>
  </si>
  <si>
    <t>fa8de8c9</t>
  </si>
  <si>
    <t>7fb5c783</t>
  </si>
  <si>
    <t>ad797bb1</t>
  </si>
  <si>
    <t>816d0b8d</t>
  </si>
  <si>
    <t>bb110683</t>
  </si>
  <si>
    <t>4c4a8eba</t>
  </si>
  <si>
    <t>6f54ef21</t>
  </si>
  <si>
    <t>ddb15aa8</t>
  </si>
  <si>
    <t>b0152a66</t>
  </si>
  <si>
    <t>b3979dda</t>
  </si>
  <si>
    <t>cd67ecb3</t>
  </si>
  <si>
    <t>336ec650</t>
  </si>
  <si>
    <t>ecac6764</t>
  </si>
  <si>
    <t>1a599daa</t>
  </si>
  <si>
    <t>e1ebf99d</t>
  </si>
  <si>
    <t>e0b8b962</t>
  </si>
  <si>
    <t>42bc8f1d</t>
  </si>
  <si>
    <t>2e1f0cd1</t>
  </si>
  <si>
    <t>1520b001</t>
  </si>
  <si>
    <t>d13c3738</t>
  </si>
  <si>
    <t>3463ca9c</t>
  </si>
  <si>
    <t>f3cc3863</t>
  </si>
  <si>
    <t>7893a80f</t>
  </si>
  <si>
    <t>611f128b</t>
  </si>
  <si>
    <t>1ed66f3c</t>
  </si>
  <si>
    <t>d0beafba</t>
  </si>
  <si>
    <t>02520c2c</t>
  </si>
  <si>
    <t>6b19aba5</t>
  </si>
  <si>
    <t>d5351c64</t>
  </si>
  <si>
    <t>235d7870</t>
  </si>
  <si>
    <t>017c54c8</t>
  </si>
  <si>
    <t>288f157f</t>
  </si>
  <si>
    <t>724c4a59</t>
  </si>
  <si>
    <t>2785296b</t>
  </si>
  <si>
    <t>c82f4f73</t>
  </si>
  <si>
    <t>5cf4c9b8</t>
  </si>
  <si>
    <t>7d40da51</t>
  </si>
  <si>
    <t>04bbf37b</t>
  </si>
  <si>
    <t>b01fe067</t>
  </si>
  <si>
    <t>406d44e4</t>
  </si>
  <si>
    <t>87c9b71b</t>
  </si>
  <si>
    <t>492a2045</t>
  </si>
  <si>
    <t>711177f8</t>
  </si>
  <si>
    <t>cdecadcc</t>
  </si>
  <si>
    <t>4c7d607a</t>
  </si>
  <si>
    <t>259818cf</t>
  </si>
  <si>
    <t>048663b0</t>
  </si>
  <si>
    <t>3e8a62de</t>
  </si>
  <si>
    <t>ab1ac3f6</t>
  </si>
  <si>
    <t>c91d639f</t>
  </si>
  <si>
    <t>6fad0a11</t>
  </si>
  <si>
    <t>8844aee4</t>
  </si>
  <si>
    <t>2acd4b15</t>
  </si>
  <si>
    <t>30f00647</t>
  </si>
  <si>
    <t>a1f8b38e</t>
  </si>
  <si>
    <t>e87030a4</t>
  </si>
  <si>
    <t>b3059c1b</t>
  </si>
  <si>
    <t>443a5760</t>
  </si>
  <si>
    <t>7a74ae49</t>
  </si>
  <si>
    <t>2fa5994c</t>
  </si>
  <si>
    <t>e01a1507</t>
  </si>
  <si>
    <t>b26e99c3</t>
  </si>
  <si>
    <t>e068c704</t>
  </si>
  <si>
    <t>1d713e5d</t>
  </si>
  <si>
    <t>ec3234d7</t>
  </si>
  <si>
    <t>ba9c31e6</t>
  </si>
  <si>
    <t>9b9ffcc5</t>
  </si>
  <si>
    <t>8edc2220</t>
  </si>
  <si>
    <t>4216f3ee</t>
  </si>
  <si>
    <t>7e356012</t>
  </si>
  <si>
    <t>574bcaca</t>
  </si>
  <si>
    <t>e88862e5</t>
  </si>
  <si>
    <t>ea43a14a</t>
  </si>
  <si>
    <t>44840a1a</t>
  </si>
  <si>
    <t>bcd77fc2</t>
  </si>
  <si>
    <t>c9a67758</t>
  </si>
  <si>
    <t>34d5744a</t>
  </si>
  <si>
    <t>e3e2d5de</t>
  </si>
  <si>
    <t>8c8b18d8</t>
  </si>
  <si>
    <t>e8592c53</t>
  </si>
  <si>
    <t>c96dbb25</t>
  </si>
  <si>
    <t>48d80989</t>
  </si>
  <si>
    <t>080b3f33</t>
  </si>
  <si>
    <t>8383e0a8</t>
  </si>
  <si>
    <t>e1623dba</t>
  </si>
  <si>
    <t>9ea5e985</t>
  </si>
  <si>
    <t>33b71c92</t>
  </si>
  <si>
    <t>d6d748a7</t>
  </si>
  <si>
    <t>59df560b</t>
  </si>
  <si>
    <t>da044d76</t>
  </si>
  <si>
    <t>23d92d5a</t>
  </si>
  <si>
    <t>738808d4</t>
  </si>
  <si>
    <t>c34a4559</t>
  </si>
  <si>
    <t>f059e92c</t>
  </si>
  <si>
    <t>d0bcaacb</t>
  </si>
  <si>
    <t>467b5b91</t>
  </si>
  <si>
    <t>78fa162e</t>
  </si>
  <si>
    <t>0de9c453</t>
  </si>
  <si>
    <t>630ca20f</t>
  </si>
  <si>
    <t>0e1f175d</t>
  </si>
  <si>
    <t>e2f721dd</t>
  </si>
  <si>
    <t>9bc37435</t>
  </si>
  <si>
    <t>55e8c955</t>
  </si>
  <si>
    <t>18fe2a1d</t>
  </si>
  <si>
    <t>792b0313</t>
  </si>
  <si>
    <t>57468f98</t>
  </si>
  <si>
    <t>34a5e603</t>
  </si>
  <si>
    <t>ed377ae8</t>
  </si>
  <si>
    <t>49c89aa5</t>
  </si>
  <si>
    <t>4106402a</t>
  </si>
  <si>
    <t>a74ad6b0</t>
  </si>
  <si>
    <t>c8281a28</t>
  </si>
  <si>
    <t>35b7bafb</t>
  </si>
  <si>
    <t>4ec5602f</t>
  </si>
  <si>
    <t>fda3aa59</t>
  </si>
  <si>
    <t>c4c3c620</t>
  </si>
  <si>
    <t>9a88f139</t>
  </si>
  <si>
    <t>7c7cc8d1</t>
  </si>
  <si>
    <t>a1b27427</t>
  </si>
  <si>
    <t>c005588a</t>
  </si>
  <si>
    <t>87450a63</t>
  </si>
  <si>
    <t>ad4b8376</t>
  </si>
  <si>
    <t>b8633dda</t>
  </si>
  <si>
    <t>ff38597d</t>
  </si>
  <si>
    <t>83068eda</t>
  </si>
  <si>
    <t>d93440dd</t>
  </si>
  <si>
    <t>5049dff3</t>
  </si>
  <si>
    <t>9abe8533</t>
  </si>
  <si>
    <t>0de0f8af</t>
  </si>
  <si>
    <t>b1cba7ae</t>
  </si>
  <si>
    <t>e40ad587</t>
  </si>
  <si>
    <t>4778edea</t>
  </si>
  <si>
    <t>bbcabf13</t>
  </si>
  <si>
    <t>7916fc79</t>
  </si>
  <si>
    <t>1d4d5e24</t>
  </si>
  <si>
    <t>54b1c68c</t>
  </si>
  <si>
    <t>cf0b0096</t>
  </si>
  <si>
    <t>cc44019d</t>
  </si>
  <si>
    <t>1ae3dfc3</t>
  </si>
  <si>
    <t>e5f7d46e</t>
  </si>
  <si>
    <t>69cb3afd</t>
  </si>
  <si>
    <t>0ef50e39</t>
  </si>
  <si>
    <t>25efb9c3</t>
  </si>
  <si>
    <t>00bcecec</t>
  </si>
  <si>
    <t>0460bd1b</t>
  </si>
  <si>
    <t>2f441b26</t>
  </si>
  <si>
    <t>987606ef</t>
  </si>
  <si>
    <t>7b59e0a2</t>
  </si>
  <si>
    <t>4abf0249</t>
  </si>
  <si>
    <t>52e05950</t>
  </si>
  <si>
    <t>3b6cf928</t>
  </si>
  <si>
    <t>4a2ae0b6</t>
  </si>
  <si>
    <t>133024f1</t>
  </si>
  <si>
    <t>16c318a1</t>
  </si>
  <si>
    <t>4d86ef31</t>
  </si>
  <si>
    <t>fcccdb77</t>
  </si>
  <si>
    <t>ef8e03d4</t>
  </si>
  <si>
    <t>0d24b6b3</t>
  </si>
  <si>
    <t>bf4b41b8</t>
  </si>
  <si>
    <t>164b6261</t>
  </si>
  <si>
    <t>9bfbd4a4</t>
  </si>
  <si>
    <t>048395af</t>
  </si>
  <si>
    <t>9bff266f</t>
  </si>
  <si>
    <t>3140591a</t>
  </si>
  <si>
    <t>bc9d7991</t>
  </si>
  <si>
    <t>b4f99855</t>
  </si>
  <si>
    <t>46802f26</t>
  </si>
  <si>
    <t>3662efaa</t>
  </si>
  <si>
    <t>e7d56a9a</t>
  </si>
  <si>
    <t>cce65220</t>
  </si>
  <si>
    <t>f42211a8</t>
  </si>
  <si>
    <t>f4a21489</t>
  </si>
  <si>
    <t>0711f669</t>
  </si>
  <si>
    <t>bd6042d9</t>
  </si>
  <si>
    <t>970093af</t>
  </si>
  <si>
    <t>651f5aa1</t>
  </si>
  <si>
    <t>4304b750</t>
  </si>
  <si>
    <t>f5e94d14</t>
  </si>
  <si>
    <t>df99eead</t>
  </si>
  <si>
    <t>c560e973</t>
  </si>
  <si>
    <t>18320ecd</t>
  </si>
  <si>
    <t>f37a3085</t>
  </si>
  <si>
    <t>6298ac23</t>
  </si>
  <si>
    <t>3aeec404</t>
  </si>
  <si>
    <t>29536e4b</t>
  </si>
  <si>
    <t>8513c4e1</t>
  </si>
  <si>
    <t>f30deedf</t>
  </si>
  <si>
    <t>b01e6537</t>
  </si>
  <si>
    <t>061ded0f</t>
  </si>
  <si>
    <t>c92e5778</t>
  </si>
  <si>
    <t>cc6287ef</t>
  </si>
  <si>
    <t>8a89dc4a</t>
  </si>
  <si>
    <t>c66685f4</t>
  </si>
  <si>
    <t>8315c883</t>
  </si>
  <si>
    <t>28251f11</t>
  </si>
  <si>
    <t>8284717d</t>
  </si>
  <si>
    <t>e5be0476</t>
  </si>
  <si>
    <t>7cd45950</t>
  </si>
  <si>
    <t>ef438494</t>
  </si>
  <si>
    <t>a017e975</t>
  </si>
  <si>
    <t>180f7d4b</t>
  </si>
  <si>
    <t>27dfbd11</t>
  </si>
  <si>
    <t>9bb06198</t>
  </si>
  <si>
    <t>95633ec6</t>
  </si>
  <si>
    <t>d0914158</t>
  </si>
  <si>
    <t>6e222892</t>
  </si>
  <si>
    <t>445292d9</t>
  </si>
  <si>
    <t>845e4b98</t>
  </si>
  <si>
    <t>5b35e8cd</t>
  </si>
  <si>
    <t>2994c1d4</t>
  </si>
  <si>
    <t>7afb063e</t>
  </si>
  <si>
    <t>cbf79859</t>
  </si>
  <si>
    <t>7077d64c</t>
  </si>
  <si>
    <t>27dc1dd0</t>
  </si>
  <si>
    <t>af27e680</t>
  </si>
  <si>
    <t>f18538e8</t>
  </si>
  <si>
    <t>d77cd8ad</t>
  </si>
  <si>
    <t>7f5f599b</t>
  </si>
  <si>
    <t>911ef627</t>
  </si>
  <si>
    <t>ce287f89</t>
  </si>
  <si>
    <t>fcd7631e</t>
  </si>
  <si>
    <t>f6b7d446</t>
  </si>
  <si>
    <t>bdfd44b1</t>
  </si>
  <si>
    <t>76f9e8cb</t>
  </si>
  <si>
    <t>1dc7a78d</t>
  </si>
  <si>
    <t>e4230f1b</t>
  </si>
  <si>
    <t>8ee5440d</t>
  </si>
  <si>
    <t>91f0ea0e</t>
  </si>
  <si>
    <t>68da038e</t>
  </si>
  <si>
    <t>04766f15</t>
  </si>
  <si>
    <t>2bd6c030</t>
  </si>
  <si>
    <t>45d9a26c</t>
  </si>
  <si>
    <t>517c365b</t>
  </si>
  <si>
    <t>9219a7d3</t>
  </si>
  <si>
    <t>ad57d31d</t>
  </si>
  <si>
    <t>cfc57961</t>
  </si>
  <si>
    <t>e9805442</t>
  </si>
  <si>
    <t>7b4b70c5</t>
  </si>
  <si>
    <t>55df93d4</t>
  </si>
  <si>
    <t>c29e36ee</t>
  </si>
  <si>
    <t>59a711c1</t>
  </si>
  <si>
    <t>0c013143</t>
  </si>
  <si>
    <t>064b5706</t>
  </si>
  <si>
    <t>e20b8fdb</t>
  </si>
  <si>
    <t>cb41dde9</t>
  </si>
  <si>
    <t>91a1bc8c</t>
  </si>
  <si>
    <t>bfc9db14</t>
  </si>
  <si>
    <t>0257ab4f</t>
  </si>
  <si>
    <t>8aea85d1</t>
  </si>
  <si>
    <t>3462c568</t>
  </si>
  <si>
    <t>dc61027f</t>
  </si>
  <si>
    <t>80ca84bc</t>
  </si>
  <si>
    <t>8bba4ac7</t>
  </si>
  <si>
    <t>62c85ad2</t>
  </si>
  <si>
    <t>839ebd4d</t>
  </si>
  <si>
    <t>0ba47e71</t>
  </si>
  <si>
    <t>1a47becf</t>
  </si>
  <si>
    <t>39ccfd3f</t>
  </si>
  <si>
    <t>14cef828</t>
  </si>
  <si>
    <t>cf3a1543</t>
  </si>
  <si>
    <t>dc851098</t>
  </si>
  <si>
    <t>34f2022c</t>
  </si>
  <si>
    <t>12117b8e</t>
  </si>
  <si>
    <t>2ac46e36</t>
  </si>
  <si>
    <t>54e33f2a</t>
  </si>
  <si>
    <t>6c77719e</t>
  </si>
  <si>
    <t>bedd1ac9</t>
  </si>
  <si>
    <t>a2191336</t>
  </si>
  <si>
    <t>5404f39c</t>
  </si>
  <si>
    <t>5a159aa1</t>
  </si>
  <si>
    <t>18af634f</t>
  </si>
  <si>
    <t>23090bf5</t>
  </si>
  <si>
    <t>4eedba0b</t>
  </si>
  <si>
    <t>8a93e598</t>
  </si>
  <si>
    <t>95e0c65e</t>
  </si>
  <si>
    <t>f4e9c90a</t>
  </si>
  <si>
    <t>3931d18a</t>
  </si>
  <si>
    <t>867278ae</t>
  </si>
  <si>
    <t>f0a7b6f7</t>
  </si>
  <si>
    <t>34e05603</t>
  </si>
  <si>
    <t>d5a81c40</t>
  </si>
  <si>
    <t>fec34ccf</t>
  </si>
  <si>
    <t>3ae93e79</t>
  </si>
  <si>
    <t>7d71474f</t>
  </si>
  <si>
    <t>25b42388</t>
  </si>
  <si>
    <t>71e9dbab</t>
  </si>
  <si>
    <t>08585fac</t>
  </si>
  <si>
    <t>689ea73c</t>
  </si>
  <si>
    <t>0f13992c</t>
  </si>
  <si>
    <t>9bd119f9</t>
  </si>
  <si>
    <t>024c6299</t>
  </si>
  <si>
    <t>7eb38c3f</t>
  </si>
  <si>
    <t>045b5beb</t>
  </si>
  <si>
    <t>196b0fb9</t>
  </si>
  <si>
    <t>4de596f7</t>
  </si>
  <si>
    <t>2d78f03f</t>
  </si>
  <si>
    <t>ec66f9e0</t>
  </si>
  <si>
    <t>869fcb0e</t>
  </si>
  <si>
    <t>e145f260</t>
  </si>
  <si>
    <t>f83a3dba</t>
  </si>
  <si>
    <t>50543ef1</t>
  </si>
  <si>
    <t>4d75cf2a</t>
  </si>
  <si>
    <t>922211a5</t>
  </si>
  <si>
    <t>430d09f1</t>
  </si>
  <si>
    <t>47a32a59</t>
  </si>
  <si>
    <t>520a1217</t>
  </si>
  <si>
    <t>3c06797d</t>
  </si>
  <si>
    <t>4662b440</t>
  </si>
  <si>
    <t>d808de64</t>
  </si>
  <si>
    <t>cfc0fb3e</t>
  </si>
  <si>
    <t>b03c7910</t>
  </si>
  <si>
    <t>payment_outlier</t>
  </si>
  <si>
    <t>Побудова діаграми</t>
  </si>
  <si>
    <t>AVG</t>
  </si>
  <si>
    <t>Побудова таблиці для гістограми за payment_outlier через COUNTIF.</t>
  </si>
  <si>
    <t>MED</t>
  </si>
  <si>
    <t>high outlier</t>
  </si>
  <si>
    <t>MOD</t>
  </si>
  <si>
    <t>normal</t>
  </si>
  <si>
    <t>MIN</t>
  </si>
  <si>
    <t>MAX</t>
  </si>
  <si>
    <t>Виявлено 23 викиди, тобто значення payments, що перевищують верхню межу (30.91), відповідно вони впливають на середнє значення (завищують)</t>
  </si>
  <si>
    <t>STDEV</t>
  </si>
  <si>
    <t>Q1</t>
  </si>
  <si>
    <t>Q2 (медіана)</t>
  </si>
  <si>
    <t>Q3</t>
  </si>
  <si>
    <t>IQR</t>
  </si>
  <si>
    <t>Нижня межа</t>
  </si>
  <si>
    <t>Верхня межа</t>
  </si>
  <si>
    <t>*якщо не ціле значення - округлення до сотих(напр. 0,01)</t>
  </si>
  <si>
    <t>Дані по sessions розподілені рівно, середнє приблизно дорівнює медіані, дані розташовані в нормальних межах</t>
  </si>
  <si>
    <t>Яке середнє значення payments?</t>
  </si>
  <si>
    <t>Чи відрізняється воно від медіани?</t>
  </si>
  <si>
    <t>Так</t>
  </si>
  <si>
    <t xml:space="preserve">Скільки викидів знайдено? </t>
  </si>
  <si>
    <t>Скільки — високих?</t>
  </si>
  <si>
    <t>Всі високі викиди</t>
  </si>
  <si>
    <t>Який користувач оплатив найбільше?</t>
  </si>
  <si>
    <t>Який висновок ти можеш дати з побудовних діаграм розподілу значень?</t>
  </si>
  <si>
    <t>З побудованої діаграми по payments видно, що більшість значень (477) лежать у нормальних межах, а незначна кількість (23) є викидами. Викиди є високими та можуть спотворювати середнє значення.</t>
  </si>
  <si>
    <t>Чи впливають ці викиди на середнє?</t>
  </si>
  <si>
    <t>Так, середнє значно перевищує медіану. Це свідчить, що наявність високих викидів завищує середнє, і воно не відображає типове значення для більшості даних. Медіана у цьому випадку точніше відображає загальну тенденцію.</t>
  </si>
  <si>
    <t>Як це може вплинути на звітність або бізнес-рішення?</t>
  </si>
  <si>
    <t>Викиди у даних про оплати гравців можуть спотворювати середні показники доходу, створюючи хибне враження про типові витрати. Це може призвести до помилкових бізнес-рішень, наприклад, завищених прогнозів доходу або некоректних маркетингових стратегій. Тому важливо аналізувати високі та аномальні платежі окремо, щоб ухвалювати точніші рішення.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</si>
</sst>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Montserrat"/>
    </font>
    <font>
      <sz val="11.0"/>
      <color theme="1"/>
      <name val="Montserrat"/>
    </font>
    <font>
      <color rgb="FFFF0000"/>
      <name val="Arial"/>
      <scheme val="minor"/>
    </font>
    <font>
      <b/>
      <sz val="11.0"/>
      <color theme="1"/>
      <name val="Calibri"/>
    </font>
    <font>
      <sz val="11.0"/>
      <color rgb="FF990000"/>
      <name val="Calibri"/>
    </font>
    <font>
      <sz val="12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2" fontId="3" numFmtId="0" xfId="0" applyAlignment="1" applyFont="1">
      <alignment vertical="bottom"/>
    </xf>
    <xf borderId="0" fillId="2" fontId="4" numFmtId="2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1" fillId="3" fontId="3" numFmtId="2" xfId="0" applyAlignment="1" applyBorder="1" applyFill="1" applyFont="1" applyNumberFormat="1">
      <alignment horizontal="center" vertical="bottom"/>
    </xf>
    <xf borderId="0" fillId="2" fontId="5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0" fillId="2" fontId="7" numFmtId="0" xfId="0" applyAlignment="1" applyFont="1">
      <alignment vertical="bottom"/>
    </xf>
    <xf borderId="0" fillId="2" fontId="3" numFmtId="2" xfId="0" applyAlignment="1" applyFont="1" applyNumberFormat="1">
      <alignment vertical="bottom"/>
    </xf>
    <xf borderId="0" fillId="2" fontId="4" numFmtId="0" xfId="0" applyAlignment="1" applyFont="1">
      <alignment readingOrder="0" vertical="bottom"/>
    </xf>
    <xf borderId="0" fillId="4" fontId="3" numFmtId="0" xfId="0" applyAlignment="1" applyFill="1" applyFont="1">
      <alignment vertical="bottom"/>
    </xf>
    <xf borderId="0" fillId="4" fontId="8" numFmtId="2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2" fontId="9" numFmtId="0" xfId="0" applyAlignment="1" applyFont="1">
      <alignment shrinkToFit="0" vertical="bottom" wrapText="1"/>
    </xf>
    <xf borderId="1" fillId="4" fontId="3" numFmtId="2" xfId="0" applyAlignment="1" applyBorder="1" applyFont="1" applyNumberFormat="1">
      <alignment shrinkToFit="0" vertical="bottom" wrapText="0"/>
    </xf>
    <xf borderId="1" fillId="4" fontId="3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Гістограма за payment_outlier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statistics_analysis!$F$3:$F$4</c:f>
            </c:strRef>
          </c:cat>
          <c:val>
            <c:numRef>
              <c:f>statistics_analysis!$G$3:$G$4</c:f>
              <c:numCache/>
            </c:numRef>
          </c:val>
        </c:ser>
        <c:axId val="1305867209"/>
        <c:axId val="31504063"/>
      </c:barChart>
      <c:catAx>
        <c:axId val="1305867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Тип викиду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04063"/>
      </c:catAx>
      <c:valAx>
        <c:axId val="31504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Кількість випадків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867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Boxplot (діаграма розмаху) для sessions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(statistics_analysis!$A$3,statistics_analysis!$B$3)</c:f>
            </c:strRef>
          </c:cat>
          <c:val>
            <c:numRef>
              <c:f>(statistics_analysis!$A$3,statistics_analysis!$B$3)</c:f>
              <c:numCache/>
            </c:numRef>
          </c:val>
        </c:ser>
        <c:axId val="66325743"/>
        <c:axId val="406618794"/>
      </c:barChart>
      <c:catAx>
        <c:axId val="66325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618794"/>
      </c:catAx>
      <c:valAx>
        <c:axId val="406618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25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Boxplot (діаграма розмаху) для sessions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statistics_analysis!$F$35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statistics_analysis!$D$36</c:f>
            </c:strRef>
          </c:cat>
          <c:val>
            <c:numRef>
              <c:f>statistics_analysis!$F$36</c:f>
              <c:numCache/>
            </c:numRef>
          </c:val>
          <c:smooth val="0"/>
        </c:ser>
        <c:ser>
          <c:idx val="1"/>
          <c:order val="1"/>
          <c:tx>
            <c:strRef>
              <c:f>statistics_analysis!$I$35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statistics_analysis!$D$36</c:f>
            </c:strRef>
          </c:cat>
          <c:val>
            <c:numRef>
              <c:f>statistics_analysis!$I$36</c:f>
              <c:numCache/>
            </c:numRef>
          </c:val>
          <c:smooth val="0"/>
        </c:ser>
        <c:ser>
          <c:idx val="2"/>
          <c:order val="2"/>
          <c:tx>
            <c:strRef>
              <c:f>statistics_analysis!$E$35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statistics_analysis!$D$36</c:f>
            </c:strRef>
          </c:cat>
          <c:val>
            <c:numRef>
              <c:f>statistics_analysis!$E$36</c:f>
              <c:numCache/>
            </c:numRef>
          </c:val>
          <c:smooth val="0"/>
        </c:ser>
        <c:ser>
          <c:idx val="3"/>
          <c:order val="3"/>
          <c:tx>
            <c:strRef>
              <c:f>statistics_analysis!$H$35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statistics_analysis!$D$36</c:f>
            </c:strRef>
          </c:cat>
          <c:val>
            <c:numRef>
              <c:f>statistics_analysis!$H$36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373827509"/>
        <c:axId val="1002290489"/>
      </c:stockChart>
      <c:dateAx>
        <c:axId val="1373827509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290489"/>
      </c:dateAx>
      <c:valAx>
        <c:axId val="1002290489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827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6</xdr:row>
      <xdr:rowOff>57150</xdr:rowOff>
    </xdr:from>
    <xdr:ext cx="4067175" cy="2524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933450</xdr:colOff>
      <xdr:row>20</xdr:row>
      <xdr:rowOff>76200</xdr:rowOff>
    </xdr:from>
    <xdr:ext cx="4067175" cy="2524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942975</xdr:colOff>
      <xdr:row>20</xdr:row>
      <xdr:rowOff>76200</xdr:rowOff>
    </xdr:from>
    <xdr:ext cx="4067175" cy="2524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25"/>
    <col customWidth="1" min="4" max="4" width="17.0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>
        <v>8.0</v>
      </c>
      <c r="C2" s="4">
        <v>1.0</v>
      </c>
      <c r="D2" s="4">
        <v>142.0</v>
      </c>
    </row>
    <row r="3">
      <c r="A3" s="3" t="s">
        <v>5</v>
      </c>
      <c r="B3" s="3">
        <v>4.0</v>
      </c>
      <c r="C3" s="4">
        <v>68.06</v>
      </c>
      <c r="D3" s="4">
        <v>113.6</v>
      </c>
    </row>
    <row r="4">
      <c r="A4" s="3" t="s">
        <v>6</v>
      </c>
      <c r="B4" s="3">
        <v>2.0</v>
      </c>
      <c r="C4" s="4">
        <v>3.95</v>
      </c>
      <c r="D4" s="4">
        <v>139.6</v>
      </c>
    </row>
    <row r="5">
      <c r="A5" s="3" t="s">
        <v>7</v>
      </c>
      <c r="B5" s="3">
        <v>3.0</v>
      </c>
      <c r="C5" s="4">
        <v>13.79</v>
      </c>
      <c r="D5" s="4">
        <v>105.8</v>
      </c>
    </row>
    <row r="6">
      <c r="A6" s="3" t="s">
        <v>8</v>
      </c>
      <c r="B6" s="3">
        <v>4.0</v>
      </c>
      <c r="C6" s="4">
        <v>16.43</v>
      </c>
      <c r="D6" s="4">
        <v>190.5</v>
      </c>
    </row>
    <row r="7">
      <c r="A7" s="3" t="s">
        <v>9</v>
      </c>
      <c r="B7" s="3">
        <v>7.0</v>
      </c>
      <c r="C7" s="4">
        <v>19.52</v>
      </c>
      <c r="D7" s="4">
        <v>40.1</v>
      </c>
    </row>
    <row r="8">
      <c r="A8" s="3" t="s">
        <v>10</v>
      </c>
      <c r="B8" s="3">
        <v>4.0</v>
      </c>
      <c r="C8" s="4">
        <v>60.44</v>
      </c>
      <c r="D8" s="4">
        <v>140.2</v>
      </c>
    </row>
    <row r="9">
      <c r="A9" s="3" t="s">
        <v>11</v>
      </c>
      <c r="B9" s="3">
        <v>3.0</v>
      </c>
      <c r="C9" s="4">
        <v>2.76</v>
      </c>
      <c r="D9" s="4">
        <v>67.1</v>
      </c>
    </row>
    <row r="10">
      <c r="A10" s="3" t="s">
        <v>12</v>
      </c>
      <c r="B10" s="3">
        <v>2.0</v>
      </c>
      <c r="C10" s="4">
        <v>0.41</v>
      </c>
      <c r="D10" s="4">
        <v>113.2</v>
      </c>
    </row>
    <row r="11">
      <c r="A11" s="3" t="s">
        <v>13</v>
      </c>
      <c r="B11" s="3">
        <v>6.0</v>
      </c>
      <c r="C11" s="4">
        <v>5.3</v>
      </c>
      <c r="D11" s="4">
        <v>117.4</v>
      </c>
    </row>
    <row r="12">
      <c r="A12" s="3" t="s">
        <v>14</v>
      </c>
      <c r="B12" s="3">
        <v>3.0</v>
      </c>
      <c r="C12" s="4">
        <v>1.39</v>
      </c>
      <c r="D12" s="4">
        <v>165.2</v>
      </c>
    </row>
    <row r="13">
      <c r="A13" s="3" t="s">
        <v>15</v>
      </c>
      <c r="B13" s="3">
        <v>5.0</v>
      </c>
      <c r="C13" s="4">
        <v>0.23</v>
      </c>
      <c r="D13" s="4">
        <v>99.2</v>
      </c>
    </row>
    <row r="14">
      <c r="A14" s="3" t="s">
        <v>16</v>
      </c>
      <c r="B14" s="3">
        <v>9.0</v>
      </c>
      <c r="C14" s="4">
        <v>4.47</v>
      </c>
      <c r="D14" s="4">
        <v>159.2</v>
      </c>
    </row>
    <row r="15">
      <c r="A15" s="3" t="s">
        <v>17</v>
      </c>
      <c r="B15" s="3">
        <v>6.0</v>
      </c>
      <c r="C15" s="4">
        <v>15.31</v>
      </c>
      <c r="D15" s="4">
        <v>84.6</v>
      </c>
    </row>
    <row r="16">
      <c r="A16" s="3" t="s">
        <v>18</v>
      </c>
      <c r="B16" s="3">
        <v>6.0</v>
      </c>
      <c r="C16" s="4">
        <v>8.35</v>
      </c>
      <c r="D16" s="4">
        <v>160.4</v>
      </c>
    </row>
    <row r="17">
      <c r="A17" s="3" t="s">
        <v>19</v>
      </c>
      <c r="B17" s="3">
        <v>9.0</v>
      </c>
      <c r="C17" s="4">
        <v>3.75</v>
      </c>
      <c r="D17" s="4">
        <v>105.8</v>
      </c>
    </row>
    <row r="18">
      <c r="A18" s="3" t="s">
        <v>20</v>
      </c>
      <c r="B18" s="3">
        <v>4.0</v>
      </c>
      <c r="C18" s="4">
        <v>10.62</v>
      </c>
      <c r="D18" s="4">
        <v>122.2</v>
      </c>
    </row>
    <row r="19">
      <c r="A19" s="3" t="s">
        <v>21</v>
      </c>
      <c r="B19" s="3">
        <v>9.0</v>
      </c>
      <c r="C19" s="4">
        <v>2.64</v>
      </c>
      <c r="D19" s="4">
        <v>109.9</v>
      </c>
    </row>
    <row r="20">
      <c r="A20" s="3" t="s">
        <v>22</v>
      </c>
      <c r="B20" s="3">
        <v>2.0</v>
      </c>
      <c r="C20" s="4">
        <v>0.14</v>
      </c>
      <c r="D20" s="4">
        <v>158.5</v>
      </c>
    </row>
    <row r="21">
      <c r="A21" s="3" t="s">
        <v>23</v>
      </c>
      <c r="B21" s="3">
        <v>10.0</v>
      </c>
      <c r="C21" s="4">
        <v>14.45</v>
      </c>
      <c r="D21" s="4">
        <v>152.6</v>
      </c>
    </row>
    <row r="22">
      <c r="A22" s="3" t="s">
        <v>24</v>
      </c>
      <c r="B22" s="3">
        <v>6.0</v>
      </c>
      <c r="C22" s="4">
        <v>9.77</v>
      </c>
      <c r="D22" s="4">
        <v>133.3</v>
      </c>
    </row>
    <row r="23">
      <c r="A23" s="3" t="s">
        <v>25</v>
      </c>
      <c r="B23" s="3">
        <v>9.0</v>
      </c>
      <c r="C23" s="4">
        <v>14.37</v>
      </c>
      <c r="D23" s="4">
        <v>85.4</v>
      </c>
    </row>
    <row r="24">
      <c r="A24" s="3" t="s">
        <v>26</v>
      </c>
      <c r="B24" s="3">
        <v>4.0</v>
      </c>
      <c r="C24" s="4">
        <v>0.4</v>
      </c>
      <c r="D24" s="4">
        <v>98.5</v>
      </c>
    </row>
    <row r="25">
      <c r="A25" s="3" t="s">
        <v>27</v>
      </c>
      <c r="B25" s="3">
        <v>1.0</v>
      </c>
      <c r="C25" s="4">
        <v>18.15</v>
      </c>
      <c r="D25" s="4">
        <v>89.1</v>
      </c>
    </row>
    <row r="26">
      <c r="A26" s="3" t="s">
        <v>28</v>
      </c>
      <c r="B26" s="3">
        <v>6.0</v>
      </c>
      <c r="C26" s="4">
        <v>9.66</v>
      </c>
      <c r="D26" s="4">
        <v>52.6</v>
      </c>
    </row>
    <row r="27">
      <c r="A27" s="3" t="s">
        <v>29</v>
      </c>
      <c r="B27" s="3">
        <v>8.0</v>
      </c>
      <c r="C27" s="4">
        <v>8.29</v>
      </c>
      <c r="D27" s="4">
        <v>157.8</v>
      </c>
    </row>
    <row r="28">
      <c r="A28" s="3" t="s">
        <v>30</v>
      </c>
      <c r="B28" s="3">
        <v>6.0</v>
      </c>
      <c r="C28" s="4">
        <v>9.8</v>
      </c>
      <c r="D28" s="4">
        <v>110.2</v>
      </c>
    </row>
    <row r="29">
      <c r="A29" s="3" t="s">
        <v>31</v>
      </c>
      <c r="B29" s="3">
        <v>2.0</v>
      </c>
      <c r="C29" s="4">
        <v>19.98</v>
      </c>
      <c r="D29" s="4">
        <v>109.8</v>
      </c>
    </row>
    <row r="30">
      <c r="A30" s="3" t="s">
        <v>32</v>
      </c>
      <c r="B30" s="3">
        <v>3.0</v>
      </c>
      <c r="C30" s="4">
        <v>8.84</v>
      </c>
      <c r="D30" s="4">
        <v>164.9</v>
      </c>
    </row>
    <row r="31">
      <c r="A31" s="3" t="s">
        <v>33</v>
      </c>
      <c r="B31" s="3">
        <v>5.0</v>
      </c>
      <c r="C31" s="4">
        <v>8.7</v>
      </c>
      <c r="D31" s="4">
        <v>105.7</v>
      </c>
    </row>
    <row r="32">
      <c r="A32" s="3" t="s">
        <v>34</v>
      </c>
      <c r="B32" s="3">
        <v>3.0</v>
      </c>
      <c r="C32" s="4">
        <v>46.76</v>
      </c>
      <c r="D32" s="4">
        <v>94.8</v>
      </c>
    </row>
    <row r="33">
      <c r="A33" s="3" t="s">
        <v>35</v>
      </c>
      <c r="B33" s="3">
        <v>3.0</v>
      </c>
      <c r="C33" s="4">
        <v>14.14</v>
      </c>
      <c r="D33" s="4">
        <v>113.3</v>
      </c>
    </row>
    <row r="34">
      <c r="A34" s="3" t="s">
        <v>36</v>
      </c>
      <c r="B34" s="3">
        <v>5.0</v>
      </c>
      <c r="C34" s="4">
        <v>5.84</v>
      </c>
      <c r="D34" s="4">
        <v>86.0</v>
      </c>
    </row>
    <row r="35">
      <c r="A35" s="3" t="s">
        <v>37</v>
      </c>
      <c r="B35" s="3">
        <v>6.0</v>
      </c>
      <c r="C35" s="4">
        <v>12.29</v>
      </c>
      <c r="D35" s="4">
        <v>130.3</v>
      </c>
    </row>
    <row r="36">
      <c r="A36" s="3" t="s">
        <v>38</v>
      </c>
      <c r="B36" s="3">
        <v>5.0</v>
      </c>
      <c r="C36" s="4">
        <v>4.93</v>
      </c>
      <c r="D36" s="4">
        <v>108.8</v>
      </c>
    </row>
    <row r="37">
      <c r="A37" s="3" t="s">
        <v>39</v>
      </c>
      <c r="B37" s="3">
        <v>3.0</v>
      </c>
      <c r="C37" s="4">
        <v>2.6</v>
      </c>
      <c r="D37" s="4">
        <v>104.8</v>
      </c>
    </row>
    <row r="38">
      <c r="A38" s="3" t="s">
        <v>40</v>
      </c>
      <c r="B38" s="3">
        <v>5.0</v>
      </c>
      <c r="C38" s="4">
        <v>9.08</v>
      </c>
      <c r="D38" s="4">
        <v>102.2</v>
      </c>
    </row>
    <row r="39">
      <c r="A39" s="3" t="s">
        <v>41</v>
      </c>
      <c r="B39" s="3">
        <v>3.0</v>
      </c>
      <c r="C39" s="4">
        <v>26.34</v>
      </c>
      <c r="D39" s="4">
        <v>116.8</v>
      </c>
    </row>
    <row r="40">
      <c r="A40" s="3" t="s">
        <v>42</v>
      </c>
      <c r="B40" s="3">
        <v>3.0</v>
      </c>
      <c r="C40" s="4">
        <v>26.47</v>
      </c>
      <c r="D40" s="4">
        <v>122.5</v>
      </c>
    </row>
    <row r="41">
      <c r="A41" s="3" t="s">
        <v>43</v>
      </c>
      <c r="B41" s="3">
        <v>6.0</v>
      </c>
      <c r="C41" s="4">
        <v>4.18</v>
      </c>
      <c r="D41" s="4">
        <v>104.4</v>
      </c>
    </row>
    <row r="42">
      <c r="A42" s="3" t="s">
        <v>44</v>
      </c>
      <c r="B42" s="3">
        <v>5.0</v>
      </c>
      <c r="C42" s="4">
        <v>7.5</v>
      </c>
      <c r="D42" s="4">
        <v>109.2</v>
      </c>
    </row>
    <row r="43">
      <c r="A43" s="3" t="s">
        <v>45</v>
      </c>
      <c r="B43" s="3">
        <v>6.0</v>
      </c>
      <c r="C43" s="4">
        <v>2.38</v>
      </c>
      <c r="D43" s="4">
        <v>117.6</v>
      </c>
    </row>
    <row r="44">
      <c r="A44" s="3">
        <v>1.362871E7</v>
      </c>
      <c r="B44" s="3">
        <v>2.0</v>
      </c>
      <c r="C44" s="4">
        <v>54.33</v>
      </c>
      <c r="D44" s="4">
        <v>114.5</v>
      </c>
    </row>
    <row r="45">
      <c r="A45" s="3" t="s">
        <v>46</v>
      </c>
      <c r="B45" s="3">
        <v>4.0</v>
      </c>
      <c r="C45" s="4">
        <v>39.7</v>
      </c>
      <c r="D45" s="4">
        <v>120.9</v>
      </c>
    </row>
    <row r="46">
      <c r="A46" s="3" t="s">
        <v>47</v>
      </c>
      <c r="B46" s="3">
        <v>7.0</v>
      </c>
      <c r="C46" s="4">
        <v>10.48</v>
      </c>
      <c r="D46" s="4">
        <v>99.7</v>
      </c>
    </row>
    <row r="47">
      <c r="A47" s="3" t="s">
        <v>48</v>
      </c>
      <c r="B47" s="3">
        <v>6.0</v>
      </c>
      <c r="C47" s="4">
        <v>16.32</v>
      </c>
      <c r="D47" s="4">
        <v>150.1</v>
      </c>
    </row>
    <row r="48">
      <c r="A48" s="3" t="s">
        <v>49</v>
      </c>
      <c r="B48" s="3">
        <v>5.0</v>
      </c>
      <c r="C48" s="4">
        <v>12.56</v>
      </c>
      <c r="D48" s="4">
        <v>122.9</v>
      </c>
    </row>
    <row r="49">
      <c r="A49" s="3" t="s">
        <v>50</v>
      </c>
      <c r="B49" s="3">
        <v>4.0</v>
      </c>
      <c r="C49" s="4">
        <v>8.99</v>
      </c>
      <c r="D49" s="4">
        <v>104.9</v>
      </c>
    </row>
    <row r="50">
      <c r="A50" s="3" t="s">
        <v>51</v>
      </c>
      <c r="B50" s="3">
        <v>3.0</v>
      </c>
      <c r="C50" s="4">
        <v>0.55</v>
      </c>
      <c r="D50" s="4">
        <v>130.3</v>
      </c>
    </row>
    <row r="51">
      <c r="A51" s="3" t="s">
        <v>52</v>
      </c>
      <c r="B51" s="3">
        <v>3.0</v>
      </c>
      <c r="C51" s="4">
        <v>6.07</v>
      </c>
      <c r="D51" s="4">
        <v>117.8</v>
      </c>
    </row>
    <row r="52">
      <c r="A52" s="3" t="s">
        <v>53</v>
      </c>
      <c r="B52" s="3">
        <v>7.0</v>
      </c>
      <c r="C52" s="4">
        <v>11.23</v>
      </c>
      <c r="D52" s="4">
        <v>68.0</v>
      </c>
    </row>
    <row r="53">
      <c r="A53" s="3" t="s">
        <v>54</v>
      </c>
      <c r="B53" s="3">
        <v>7.0</v>
      </c>
      <c r="C53" s="4">
        <v>11.32</v>
      </c>
      <c r="D53" s="4">
        <v>130.2</v>
      </c>
    </row>
    <row r="54">
      <c r="A54" s="3" t="s">
        <v>55</v>
      </c>
      <c r="B54" s="3">
        <v>6.0</v>
      </c>
      <c r="C54" s="4">
        <v>4.67</v>
      </c>
      <c r="D54" s="4">
        <v>89.4</v>
      </c>
    </row>
    <row r="55">
      <c r="A55" s="3" t="s">
        <v>56</v>
      </c>
      <c r="B55" s="3">
        <v>6.0</v>
      </c>
      <c r="C55" s="4">
        <v>28.42</v>
      </c>
      <c r="D55" s="4">
        <v>148.0</v>
      </c>
    </row>
    <row r="56">
      <c r="A56" s="3" t="s">
        <v>57</v>
      </c>
      <c r="B56" s="3">
        <v>7.0</v>
      </c>
      <c r="C56" s="4">
        <v>1.83</v>
      </c>
      <c r="D56" s="4">
        <v>112.7</v>
      </c>
    </row>
    <row r="57">
      <c r="A57" s="3" t="s">
        <v>58</v>
      </c>
      <c r="B57" s="3">
        <v>8.0</v>
      </c>
      <c r="C57" s="4">
        <v>6.94</v>
      </c>
      <c r="D57" s="4">
        <v>143.4</v>
      </c>
    </row>
    <row r="58">
      <c r="A58" s="3" t="s">
        <v>59</v>
      </c>
      <c r="B58" s="3">
        <v>6.0</v>
      </c>
      <c r="C58" s="4">
        <v>11.74</v>
      </c>
      <c r="D58" s="4">
        <v>101.1</v>
      </c>
    </row>
    <row r="59">
      <c r="A59" s="3" t="s">
        <v>60</v>
      </c>
      <c r="B59" s="3">
        <v>3.0</v>
      </c>
      <c r="C59" s="4">
        <v>11.94</v>
      </c>
      <c r="D59" s="4">
        <v>122.1</v>
      </c>
    </row>
    <row r="60">
      <c r="A60" s="3" t="s">
        <v>61</v>
      </c>
      <c r="B60" s="3">
        <v>7.0</v>
      </c>
      <c r="C60" s="4">
        <v>10.46</v>
      </c>
      <c r="D60" s="4">
        <v>156.3</v>
      </c>
    </row>
    <row r="61">
      <c r="A61" s="3" t="s">
        <v>62</v>
      </c>
      <c r="B61" s="3">
        <v>5.0</v>
      </c>
      <c r="C61" s="4">
        <v>3.22</v>
      </c>
      <c r="D61" s="4">
        <v>111.9</v>
      </c>
    </row>
    <row r="62">
      <c r="A62" s="3" t="s">
        <v>63</v>
      </c>
      <c r="B62" s="3">
        <v>5.0</v>
      </c>
      <c r="C62" s="4">
        <v>1.7</v>
      </c>
      <c r="D62" s="4">
        <v>102.3</v>
      </c>
    </row>
    <row r="63">
      <c r="A63" s="3" t="s">
        <v>64</v>
      </c>
      <c r="B63" s="3">
        <v>7.0</v>
      </c>
      <c r="C63" s="4">
        <v>10.1</v>
      </c>
      <c r="D63" s="4">
        <v>139.7</v>
      </c>
    </row>
    <row r="64">
      <c r="A64" s="3" t="s">
        <v>65</v>
      </c>
      <c r="B64" s="3">
        <v>4.0</v>
      </c>
      <c r="C64" s="4">
        <v>9.15</v>
      </c>
      <c r="D64" s="4">
        <v>139.1</v>
      </c>
    </row>
    <row r="65">
      <c r="A65" s="3" t="s">
        <v>66</v>
      </c>
      <c r="B65" s="3">
        <v>9.0</v>
      </c>
      <c r="C65" s="4">
        <v>1.98</v>
      </c>
      <c r="D65" s="4">
        <v>103.5</v>
      </c>
    </row>
    <row r="66">
      <c r="A66" s="3" t="s">
        <v>67</v>
      </c>
      <c r="B66" s="3">
        <v>4.0</v>
      </c>
      <c r="C66" s="4">
        <v>12.21</v>
      </c>
      <c r="D66" s="4">
        <v>60.4</v>
      </c>
    </row>
    <row r="67">
      <c r="A67" s="3" t="s">
        <v>68</v>
      </c>
      <c r="B67" s="3">
        <v>5.0</v>
      </c>
      <c r="C67" s="4">
        <v>6.07</v>
      </c>
      <c r="D67" s="4">
        <v>101.7</v>
      </c>
    </row>
    <row r="68">
      <c r="A68" s="3" t="s">
        <v>69</v>
      </c>
      <c r="B68" s="3">
        <v>2.0</v>
      </c>
      <c r="C68" s="4">
        <v>11.02</v>
      </c>
      <c r="D68" s="4">
        <v>140.3</v>
      </c>
    </row>
    <row r="69">
      <c r="A69" s="3" t="s">
        <v>70</v>
      </c>
      <c r="B69" s="3">
        <v>6.0</v>
      </c>
      <c r="C69" s="4">
        <v>18.16</v>
      </c>
      <c r="D69" s="4">
        <v>96.7</v>
      </c>
    </row>
    <row r="70">
      <c r="A70" s="3" t="s">
        <v>71</v>
      </c>
      <c r="B70" s="3">
        <v>3.0</v>
      </c>
      <c r="C70" s="4">
        <v>1.86</v>
      </c>
      <c r="D70" s="4">
        <v>119.7</v>
      </c>
    </row>
    <row r="71">
      <c r="A71" s="3" t="s">
        <v>72</v>
      </c>
      <c r="B71" s="3">
        <v>6.0</v>
      </c>
      <c r="C71" s="4">
        <v>0.19</v>
      </c>
      <c r="D71" s="4">
        <v>100.3</v>
      </c>
    </row>
    <row r="72">
      <c r="A72" s="3" t="s">
        <v>73</v>
      </c>
      <c r="B72" s="3">
        <v>2.0</v>
      </c>
      <c r="C72" s="4">
        <v>15.1</v>
      </c>
      <c r="D72" s="4">
        <v>62.0</v>
      </c>
    </row>
    <row r="73">
      <c r="A73" s="3" t="s">
        <v>74</v>
      </c>
      <c r="B73" s="3">
        <v>3.0</v>
      </c>
      <c r="C73" s="4">
        <v>9.41</v>
      </c>
      <c r="D73" s="4">
        <v>99.7</v>
      </c>
    </row>
    <row r="74">
      <c r="A74" s="3" t="s">
        <v>75</v>
      </c>
      <c r="B74" s="3">
        <v>5.0</v>
      </c>
      <c r="C74" s="4">
        <v>12.03</v>
      </c>
      <c r="D74" s="4">
        <v>140.2</v>
      </c>
    </row>
    <row r="75">
      <c r="A75" s="3" t="s">
        <v>76</v>
      </c>
      <c r="B75" s="3">
        <v>3.0</v>
      </c>
      <c r="C75" s="4">
        <v>18.21</v>
      </c>
      <c r="D75" s="4">
        <v>48.9</v>
      </c>
    </row>
    <row r="76">
      <c r="A76" s="3" t="s">
        <v>77</v>
      </c>
      <c r="B76" s="3">
        <v>4.0</v>
      </c>
      <c r="C76" s="4">
        <v>16.24</v>
      </c>
      <c r="D76" s="4">
        <v>127.6</v>
      </c>
    </row>
    <row r="77">
      <c r="A77" s="3" t="s">
        <v>78</v>
      </c>
      <c r="B77" s="3">
        <v>5.0</v>
      </c>
      <c r="C77" s="4">
        <v>32.42</v>
      </c>
      <c r="D77" s="4">
        <v>84.4</v>
      </c>
    </row>
    <row r="78">
      <c r="A78" s="3" t="s">
        <v>79</v>
      </c>
      <c r="B78" s="3">
        <v>6.0</v>
      </c>
      <c r="C78" s="4">
        <v>7.68</v>
      </c>
      <c r="D78" s="4">
        <v>138.3</v>
      </c>
    </row>
    <row r="79">
      <c r="A79" s="3" t="s">
        <v>80</v>
      </c>
      <c r="B79" s="3">
        <v>3.0</v>
      </c>
      <c r="C79" s="4">
        <v>6.7</v>
      </c>
      <c r="D79" s="4">
        <v>141.4</v>
      </c>
    </row>
    <row r="80">
      <c r="A80" s="3" t="s">
        <v>81</v>
      </c>
      <c r="B80" s="3">
        <v>3.0</v>
      </c>
      <c r="C80" s="4">
        <v>5.14</v>
      </c>
      <c r="D80" s="4">
        <v>114.8</v>
      </c>
    </row>
    <row r="81">
      <c r="A81" s="3" t="s">
        <v>82</v>
      </c>
      <c r="B81" s="3">
        <v>4.0</v>
      </c>
      <c r="C81" s="4">
        <v>1.67</v>
      </c>
      <c r="D81" s="4">
        <v>114.9</v>
      </c>
    </row>
    <row r="82">
      <c r="A82" s="3" t="s">
        <v>83</v>
      </c>
      <c r="B82" s="3">
        <v>5.0</v>
      </c>
      <c r="C82" s="4">
        <v>8.5</v>
      </c>
      <c r="D82" s="4">
        <v>95.8</v>
      </c>
    </row>
    <row r="83">
      <c r="A83" s="3" t="s">
        <v>84</v>
      </c>
      <c r="B83" s="3">
        <v>4.0</v>
      </c>
      <c r="C83" s="4">
        <v>3.24</v>
      </c>
      <c r="D83" s="4">
        <v>79.6</v>
      </c>
    </row>
    <row r="84">
      <c r="A84" s="3" t="s">
        <v>85</v>
      </c>
      <c r="B84" s="3">
        <v>2.0</v>
      </c>
      <c r="C84" s="4">
        <v>25.42</v>
      </c>
      <c r="D84" s="4">
        <v>170.9</v>
      </c>
    </row>
    <row r="85">
      <c r="A85" s="3" t="s">
        <v>86</v>
      </c>
      <c r="B85" s="3">
        <v>6.0</v>
      </c>
      <c r="C85" s="4">
        <v>8.75</v>
      </c>
      <c r="D85" s="4">
        <v>94.0</v>
      </c>
    </row>
    <row r="86">
      <c r="A86" s="3" t="s">
        <v>87</v>
      </c>
      <c r="B86" s="3">
        <v>6.0</v>
      </c>
      <c r="C86" s="4">
        <v>8.99</v>
      </c>
      <c r="D86" s="4">
        <v>167.0</v>
      </c>
    </row>
    <row r="87">
      <c r="A87" s="3" t="s">
        <v>88</v>
      </c>
      <c r="B87" s="3">
        <v>8.0</v>
      </c>
      <c r="C87" s="4">
        <v>4.38</v>
      </c>
      <c r="D87" s="4">
        <v>94.2</v>
      </c>
    </row>
    <row r="88">
      <c r="A88" s="3" t="s">
        <v>89</v>
      </c>
      <c r="B88" s="3">
        <v>1.0</v>
      </c>
      <c r="C88" s="4">
        <v>0.53</v>
      </c>
      <c r="D88" s="4">
        <v>135.8</v>
      </c>
    </row>
    <row r="89">
      <c r="A89" s="3" t="s">
        <v>90</v>
      </c>
      <c r="B89" s="3">
        <v>6.0</v>
      </c>
      <c r="C89" s="4">
        <v>0.32</v>
      </c>
      <c r="D89" s="4">
        <v>85.9</v>
      </c>
    </row>
    <row r="90">
      <c r="A90" s="3" t="s">
        <v>91</v>
      </c>
      <c r="B90" s="3">
        <v>2.0</v>
      </c>
      <c r="C90" s="4">
        <v>5.5</v>
      </c>
      <c r="D90" s="4">
        <v>135.7</v>
      </c>
    </row>
    <row r="91">
      <c r="A91" s="3" t="s">
        <v>92</v>
      </c>
      <c r="B91" s="3">
        <v>5.0</v>
      </c>
      <c r="C91" s="4">
        <v>0.88</v>
      </c>
      <c r="D91" s="4">
        <v>110.2</v>
      </c>
    </row>
    <row r="92">
      <c r="A92" s="3">
        <v>6.5451583E7</v>
      </c>
      <c r="B92" s="3">
        <v>2.0</v>
      </c>
      <c r="C92" s="4">
        <v>9.34</v>
      </c>
      <c r="D92" s="4">
        <v>110.6</v>
      </c>
    </row>
    <row r="93">
      <c r="A93" s="3" t="s">
        <v>93</v>
      </c>
      <c r="B93" s="3">
        <v>6.0</v>
      </c>
      <c r="C93" s="4">
        <v>21.28</v>
      </c>
      <c r="D93" s="4">
        <v>138.3</v>
      </c>
    </row>
    <row r="94">
      <c r="A94" s="3" t="s">
        <v>94</v>
      </c>
      <c r="B94" s="3">
        <v>4.0</v>
      </c>
      <c r="C94" s="4">
        <v>21.45</v>
      </c>
      <c r="D94" s="4">
        <v>105.9</v>
      </c>
    </row>
    <row r="95">
      <c r="A95" s="3" t="s">
        <v>95</v>
      </c>
      <c r="B95" s="3">
        <v>3.0</v>
      </c>
      <c r="C95" s="4">
        <v>10.76</v>
      </c>
      <c r="D95" s="4">
        <v>77.2</v>
      </c>
    </row>
    <row r="96">
      <c r="A96" s="3" t="s">
        <v>96</v>
      </c>
      <c r="B96" s="3">
        <v>5.0</v>
      </c>
      <c r="C96" s="4">
        <v>2.37</v>
      </c>
      <c r="D96" s="4">
        <v>142.8</v>
      </c>
    </row>
    <row r="97">
      <c r="A97" s="3" t="s">
        <v>97</v>
      </c>
      <c r="B97" s="3">
        <v>6.0</v>
      </c>
      <c r="C97" s="4">
        <v>19.88</v>
      </c>
      <c r="D97" s="4">
        <v>85.6</v>
      </c>
    </row>
    <row r="98">
      <c r="A98" s="3" t="s">
        <v>98</v>
      </c>
      <c r="B98" s="3">
        <v>3.0</v>
      </c>
      <c r="C98" s="4">
        <v>21.72</v>
      </c>
      <c r="D98" s="4">
        <v>135.5</v>
      </c>
    </row>
    <row r="99">
      <c r="A99" s="3" t="s">
        <v>99</v>
      </c>
      <c r="B99" s="3">
        <v>4.0</v>
      </c>
      <c r="C99" s="4">
        <v>2.19</v>
      </c>
      <c r="D99" s="4">
        <v>149.2</v>
      </c>
    </row>
    <row r="100">
      <c r="A100" s="3" t="s">
        <v>100</v>
      </c>
      <c r="B100" s="3">
        <v>8.0</v>
      </c>
      <c r="C100" s="4">
        <v>13.37</v>
      </c>
      <c r="D100" s="4">
        <v>108.7</v>
      </c>
    </row>
    <row r="101">
      <c r="A101" s="3" t="s">
        <v>101</v>
      </c>
      <c r="B101" s="3">
        <v>4.0</v>
      </c>
      <c r="C101" s="4">
        <v>3.38</v>
      </c>
      <c r="D101" s="4">
        <v>155.5</v>
      </c>
    </row>
    <row r="102">
      <c r="A102" s="3" t="s">
        <v>102</v>
      </c>
      <c r="B102" s="3">
        <v>10.0</v>
      </c>
      <c r="C102" s="4">
        <v>16.23</v>
      </c>
      <c r="D102" s="4">
        <v>134.5</v>
      </c>
    </row>
    <row r="103">
      <c r="A103" s="3" t="s">
        <v>103</v>
      </c>
      <c r="B103" s="3">
        <v>4.0</v>
      </c>
      <c r="C103" s="4">
        <v>58.92</v>
      </c>
      <c r="D103" s="4">
        <v>99.1</v>
      </c>
    </row>
    <row r="104">
      <c r="A104" s="3" t="s">
        <v>104</v>
      </c>
      <c r="B104" s="3">
        <v>5.0</v>
      </c>
      <c r="C104" s="4">
        <v>0.3</v>
      </c>
      <c r="D104" s="4">
        <v>162.0</v>
      </c>
    </row>
    <row r="105">
      <c r="A105" s="3" t="s">
        <v>105</v>
      </c>
      <c r="B105" s="3">
        <v>10.0</v>
      </c>
      <c r="C105" s="4">
        <v>22.77</v>
      </c>
      <c r="D105" s="4">
        <v>85.7</v>
      </c>
    </row>
    <row r="106">
      <c r="A106" s="3" t="s">
        <v>106</v>
      </c>
      <c r="B106" s="3">
        <v>3.0</v>
      </c>
      <c r="C106" s="4">
        <v>9.75</v>
      </c>
      <c r="D106" s="4">
        <v>108.7</v>
      </c>
    </row>
    <row r="107">
      <c r="A107" s="3" t="s">
        <v>107</v>
      </c>
      <c r="B107" s="3">
        <v>4.0</v>
      </c>
      <c r="C107" s="4">
        <v>36.26</v>
      </c>
      <c r="D107" s="4">
        <v>113.8</v>
      </c>
    </row>
    <row r="108">
      <c r="A108" s="3" t="s">
        <v>108</v>
      </c>
      <c r="B108" s="3">
        <v>7.0</v>
      </c>
      <c r="C108" s="4">
        <v>6.26</v>
      </c>
      <c r="D108" s="4">
        <v>138.2</v>
      </c>
    </row>
    <row r="109">
      <c r="A109" s="3" t="s">
        <v>109</v>
      </c>
      <c r="B109" s="3">
        <v>5.0</v>
      </c>
      <c r="C109" s="4">
        <v>18.8</v>
      </c>
      <c r="D109" s="4">
        <v>153.5</v>
      </c>
    </row>
    <row r="110">
      <c r="A110" s="3" t="s">
        <v>110</v>
      </c>
      <c r="B110" s="3">
        <v>10.0</v>
      </c>
      <c r="C110" s="4">
        <v>0.64</v>
      </c>
      <c r="D110" s="4">
        <v>151.6</v>
      </c>
    </row>
    <row r="111">
      <c r="A111" s="3" t="s">
        <v>111</v>
      </c>
      <c r="B111" s="3">
        <v>4.0</v>
      </c>
      <c r="C111" s="4">
        <v>4.08</v>
      </c>
      <c r="D111" s="4">
        <v>126.7</v>
      </c>
    </row>
    <row r="112">
      <c r="A112" s="3" t="s">
        <v>112</v>
      </c>
      <c r="B112" s="3">
        <v>2.0</v>
      </c>
      <c r="C112" s="4">
        <v>0.69</v>
      </c>
      <c r="D112" s="4">
        <v>111.6</v>
      </c>
    </row>
    <row r="113">
      <c r="A113" s="3" t="s">
        <v>113</v>
      </c>
      <c r="B113" s="3">
        <v>3.0</v>
      </c>
      <c r="C113" s="4">
        <v>37.03</v>
      </c>
      <c r="D113" s="4">
        <v>65.2</v>
      </c>
    </row>
    <row r="114">
      <c r="A114" s="3" t="s">
        <v>114</v>
      </c>
      <c r="B114" s="3">
        <v>5.0</v>
      </c>
      <c r="C114" s="4">
        <v>16.98</v>
      </c>
      <c r="D114" s="4">
        <v>80.6</v>
      </c>
    </row>
    <row r="115">
      <c r="A115" s="3" t="s">
        <v>115</v>
      </c>
      <c r="B115" s="3">
        <v>8.0</v>
      </c>
      <c r="C115" s="4">
        <v>19.14</v>
      </c>
      <c r="D115" s="4">
        <v>173.0</v>
      </c>
    </row>
    <row r="116">
      <c r="A116" s="3" t="s">
        <v>116</v>
      </c>
      <c r="B116" s="3">
        <v>4.0</v>
      </c>
      <c r="C116" s="4">
        <v>27.8</v>
      </c>
      <c r="D116" s="4">
        <v>64.9</v>
      </c>
    </row>
    <row r="117">
      <c r="A117" s="3" t="s">
        <v>117</v>
      </c>
      <c r="B117" s="3">
        <v>3.0</v>
      </c>
      <c r="C117" s="4">
        <v>0.89</v>
      </c>
      <c r="D117" s="4">
        <v>96.5</v>
      </c>
    </row>
    <row r="118">
      <c r="A118" s="3" t="s">
        <v>118</v>
      </c>
      <c r="B118" s="3">
        <v>8.0</v>
      </c>
      <c r="C118" s="4">
        <v>4.87</v>
      </c>
      <c r="D118" s="4">
        <v>154.3</v>
      </c>
    </row>
    <row r="119">
      <c r="A119" s="3" t="s">
        <v>119</v>
      </c>
      <c r="B119" s="3">
        <v>6.0</v>
      </c>
      <c r="C119" s="4">
        <v>0.74</v>
      </c>
      <c r="D119" s="4">
        <v>126.3</v>
      </c>
    </row>
    <row r="120">
      <c r="A120" s="3" t="s">
        <v>120</v>
      </c>
      <c r="B120" s="3">
        <v>8.0</v>
      </c>
      <c r="C120" s="4">
        <v>2.37</v>
      </c>
      <c r="D120" s="4">
        <v>147.8</v>
      </c>
    </row>
    <row r="121">
      <c r="A121" s="3" t="s">
        <v>121</v>
      </c>
      <c r="B121" s="3">
        <v>3.0</v>
      </c>
      <c r="C121" s="4">
        <v>2.61</v>
      </c>
      <c r="D121" s="4">
        <v>136.3</v>
      </c>
    </row>
    <row r="122">
      <c r="A122" s="3" t="s">
        <v>122</v>
      </c>
      <c r="B122" s="3">
        <v>3.0</v>
      </c>
      <c r="C122" s="4">
        <v>6.33</v>
      </c>
      <c r="D122" s="4">
        <v>164.1</v>
      </c>
    </row>
    <row r="123">
      <c r="A123" s="3" t="s">
        <v>123</v>
      </c>
      <c r="B123" s="3">
        <v>5.0</v>
      </c>
      <c r="C123" s="4">
        <v>3.13</v>
      </c>
      <c r="D123" s="4">
        <v>128.9</v>
      </c>
    </row>
    <row r="124">
      <c r="A124" s="3" t="s">
        <v>124</v>
      </c>
      <c r="B124" s="3">
        <v>11.0</v>
      </c>
      <c r="C124" s="4">
        <v>1.06</v>
      </c>
      <c r="D124" s="4">
        <v>139.9</v>
      </c>
    </row>
    <row r="125">
      <c r="A125" s="3" t="s">
        <v>125</v>
      </c>
      <c r="B125" s="3">
        <v>7.0</v>
      </c>
      <c r="C125" s="4">
        <v>1.83</v>
      </c>
      <c r="D125" s="4">
        <v>98.3</v>
      </c>
    </row>
    <row r="126">
      <c r="A126" s="3" t="s">
        <v>126</v>
      </c>
      <c r="B126" s="3">
        <v>4.0</v>
      </c>
      <c r="C126" s="4">
        <v>1.59</v>
      </c>
      <c r="D126" s="4">
        <v>137.6</v>
      </c>
    </row>
    <row r="127">
      <c r="A127" s="3" t="s">
        <v>127</v>
      </c>
      <c r="B127" s="3">
        <v>3.0</v>
      </c>
      <c r="C127" s="4">
        <v>36.15</v>
      </c>
      <c r="D127" s="4">
        <v>108.1</v>
      </c>
    </row>
    <row r="128">
      <c r="A128" s="3" t="s">
        <v>128</v>
      </c>
      <c r="B128" s="3">
        <v>8.0</v>
      </c>
      <c r="C128" s="4">
        <v>14.24</v>
      </c>
      <c r="D128" s="4">
        <v>106.4</v>
      </c>
    </row>
    <row r="129">
      <c r="A129" s="3" t="s">
        <v>129</v>
      </c>
      <c r="B129" s="3">
        <v>8.0</v>
      </c>
      <c r="C129" s="4">
        <v>34.35</v>
      </c>
      <c r="D129" s="4">
        <v>146.8</v>
      </c>
    </row>
    <row r="130">
      <c r="A130" s="3" t="s">
        <v>130</v>
      </c>
      <c r="B130" s="3">
        <v>3.0</v>
      </c>
      <c r="C130" s="4">
        <v>5.79</v>
      </c>
      <c r="D130" s="4">
        <v>147.0</v>
      </c>
    </row>
    <row r="131">
      <c r="A131" s="3" t="s">
        <v>131</v>
      </c>
      <c r="B131" s="3">
        <v>3.0</v>
      </c>
      <c r="C131" s="4">
        <v>3.26</v>
      </c>
      <c r="D131" s="4">
        <v>170.7</v>
      </c>
    </row>
    <row r="132">
      <c r="A132" s="3" t="s">
        <v>132</v>
      </c>
      <c r="B132" s="3">
        <v>6.0</v>
      </c>
      <c r="C132" s="4">
        <v>16.01</v>
      </c>
      <c r="D132" s="4">
        <v>168.7</v>
      </c>
    </row>
    <row r="133">
      <c r="A133" s="3" t="s">
        <v>133</v>
      </c>
      <c r="B133" s="3">
        <v>2.0</v>
      </c>
      <c r="C133" s="4">
        <v>3.95</v>
      </c>
      <c r="D133" s="4">
        <v>147.5</v>
      </c>
    </row>
    <row r="134">
      <c r="A134" s="3" t="s">
        <v>134</v>
      </c>
      <c r="B134" s="3">
        <v>7.0</v>
      </c>
      <c r="C134" s="4">
        <v>3.56</v>
      </c>
      <c r="D134" s="4">
        <v>68.4</v>
      </c>
    </row>
    <row r="135">
      <c r="A135" s="3" t="s">
        <v>135</v>
      </c>
      <c r="B135" s="3">
        <v>5.0</v>
      </c>
      <c r="C135" s="4">
        <v>2.65</v>
      </c>
      <c r="D135" s="4">
        <v>174.8</v>
      </c>
    </row>
    <row r="136">
      <c r="A136" s="3" t="s">
        <v>136</v>
      </c>
      <c r="B136" s="3">
        <v>5.0</v>
      </c>
      <c r="C136" s="4">
        <v>1.39</v>
      </c>
      <c r="D136" s="4">
        <v>147.5</v>
      </c>
    </row>
    <row r="137">
      <c r="A137" s="3" t="s">
        <v>137</v>
      </c>
      <c r="B137" s="3">
        <v>6.0</v>
      </c>
      <c r="C137" s="4">
        <v>2.96</v>
      </c>
      <c r="D137" s="4">
        <v>97.0</v>
      </c>
    </row>
    <row r="138">
      <c r="A138" s="3" t="s">
        <v>138</v>
      </c>
      <c r="B138" s="3">
        <v>1.0</v>
      </c>
      <c r="C138" s="4">
        <v>4.39</v>
      </c>
      <c r="D138" s="4">
        <v>141.9</v>
      </c>
    </row>
    <row r="139">
      <c r="A139" s="3" t="s">
        <v>139</v>
      </c>
      <c r="B139" s="3">
        <v>10.0</v>
      </c>
      <c r="C139" s="4">
        <v>11.21</v>
      </c>
      <c r="D139" s="4">
        <v>88.9</v>
      </c>
    </row>
    <row r="140">
      <c r="A140" s="3" t="s">
        <v>140</v>
      </c>
      <c r="B140" s="3">
        <v>2.0</v>
      </c>
      <c r="C140" s="4">
        <v>0.65</v>
      </c>
      <c r="D140" s="4">
        <v>138.6</v>
      </c>
    </row>
    <row r="141">
      <c r="A141" s="3">
        <v>4.2213759E7</v>
      </c>
      <c r="B141" s="3">
        <v>5.0</v>
      </c>
      <c r="C141" s="4">
        <v>2.36</v>
      </c>
      <c r="D141" s="4">
        <v>80.5</v>
      </c>
    </row>
    <row r="142">
      <c r="A142" s="3" t="s">
        <v>141</v>
      </c>
      <c r="B142" s="3">
        <v>4.0</v>
      </c>
      <c r="C142" s="4">
        <v>16.56</v>
      </c>
      <c r="D142" s="4">
        <v>95.8</v>
      </c>
    </row>
    <row r="143">
      <c r="A143" s="3" t="s">
        <v>142</v>
      </c>
      <c r="B143" s="3">
        <v>5.0</v>
      </c>
      <c r="C143" s="4">
        <v>1.59</v>
      </c>
      <c r="D143" s="4">
        <v>141.3</v>
      </c>
    </row>
    <row r="144">
      <c r="A144" s="3" t="s">
        <v>143</v>
      </c>
      <c r="B144" s="3">
        <v>4.0</v>
      </c>
      <c r="C144" s="4">
        <v>4.2</v>
      </c>
      <c r="D144" s="4">
        <v>152.2</v>
      </c>
    </row>
    <row r="145">
      <c r="A145" s="3" t="s">
        <v>144</v>
      </c>
      <c r="B145" s="3">
        <v>5.0</v>
      </c>
      <c r="C145" s="4">
        <v>20.0</v>
      </c>
      <c r="D145" s="4">
        <v>129.8</v>
      </c>
    </row>
    <row r="146">
      <c r="A146" s="3" t="s">
        <v>145</v>
      </c>
      <c r="B146" s="3">
        <v>6.0</v>
      </c>
      <c r="C146" s="4">
        <v>1.68</v>
      </c>
      <c r="D146" s="4">
        <v>111.4</v>
      </c>
    </row>
    <row r="147">
      <c r="A147" s="3" t="s">
        <v>146</v>
      </c>
      <c r="B147" s="3">
        <v>1.0</v>
      </c>
      <c r="C147" s="4">
        <v>0.86</v>
      </c>
      <c r="D147" s="4">
        <v>56.6</v>
      </c>
    </row>
    <row r="148">
      <c r="A148" s="3" t="s">
        <v>147</v>
      </c>
      <c r="B148" s="3">
        <v>3.0</v>
      </c>
      <c r="C148" s="4">
        <v>6.63</v>
      </c>
      <c r="D148" s="4">
        <v>113.7</v>
      </c>
    </row>
    <row r="149">
      <c r="A149" s="3" t="s">
        <v>148</v>
      </c>
      <c r="B149" s="3">
        <v>2.0</v>
      </c>
      <c r="C149" s="4">
        <v>3.6</v>
      </c>
      <c r="D149" s="4">
        <v>136.0</v>
      </c>
    </row>
    <row r="150">
      <c r="A150" s="3" t="s">
        <v>149</v>
      </c>
      <c r="B150" s="3">
        <v>5.0</v>
      </c>
      <c r="C150" s="4">
        <v>8.29</v>
      </c>
      <c r="D150" s="4">
        <v>110.5</v>
      </c>
    </row>
    <row r="151">
      <c r="A151" s="3" t="s">
        <v>150</v>
      </c>
      <c r="B151" s="3">
        <v>4.0</v>
      </c>
      <c r="C151" s="4">
        <v>16.29</v>
      </c>
      <c r="D151" s="4">
        <v>119.3</v>
      </c>
    </row>
    <row r="152">
      <c r="A152" s="3" t="s">
        <v>151</v>
      </c>
      <c r="B152" s="3">
        <v>7.0</v>
      </c>
      <c r="C152" s="4">
        <v>1.48</v>
      </c>
      <c r="D152" s="4">
        <v>114.4</v>
      </c>
    </row>
    <row r="153">
      <c r="A153" s="3" t="s">
        <v>152</v>
      </c>
      <c r="B153" s="3">
        <v>7.0</v>
      </c>
      <c r="C153" s="4">
        <v>8.69</v>
      </c>
      <c r="D153" s="4">
        <v>110.3</v>
      </c>
    </row>
    <row r="154">
      <c r="A154" s="3" t="s">
        <v>153</v>
      </c>
      <c r="B154" s="3">
        <v>2.0</v>
      </c>
      <c r="C154" s="4">
        <v>7.04</v>
      </c>
      <c r="D154" s="4">
        <v>122.3</v>
      </c>
    </row>
    <row r="155">
      <c r="A155" s="3" t="s">
        <v>154</v>
      </c>
      <c r="B155" s="3">
        <v>6.0</v>
      </c>
      <c r="C155" s="4">
        <v>1.56</v>
      </c>
      <c r="D155" s="4">
        <v>111.8</v>
      </c>
    </row>
    <row r="156">
      <c r="A156" s="3" t="s">
        <v>155</v>
      </c>
      <c r="B156" s="3">
        <v>7.0</v>
      </c>
      <c r="C156" s="4">
        <v>9.78</v>
      </c>
      <c r="D156" s="4">
        <v>163.3</v>
      </c>
    </row>
    <row r="157">
      <c r="A157" s="3">
        <v>6.7465649E7</v>
      </c>
      <c r="B157" s="3">
        <v>2.0</v>
      </c>
      <c r="C157" s="4">
        <v>3.2</v>
      </c>
      <c r="D157" s="4">
        <v>53.8</v>
      </c>
    </row>
    <row r="158">
      <c r="A158" s="3" t="s">
        <v>156</v>
      </c>
      <c r="B158" s="3">
        <v>7.0</v>
      </c>
      <c r="C158" s="4">
        <v>6.69</v>
      </c>
      <c r="D158" s="4">
        <v>103.6</v>
      </c>
    </row>
    <row r="159">
      <c r="A159" s="3" t="s">
        <v>157</v>
      </c>
      <c r="B159" s="3">
        <v>5.0</v>
      </c>
      <c r="C159" s="4">
        <v>0.86</v>
      </c>
      <c r="D159" s="4">
        <v>93.9</v>
      </c>
    </row>
    <row r="160">
      <c r="A160" s="3" t="s">
        <v>158</v>
      </c>
      <c r="B160" s="3">
        <v>7.0</v>
      </c>
      <c r="C160" s="4">
        <v>6.15</v>
      </c>
      <c r="D160" s="4">
        <v>126.6</v>
      </c>
    </row>
    <row r="161">
      <c r="A161" s="3" t="s">
        <v>159</v>
      </c>
      <c r="B161" s="3">
        <v>6.0</v>
      </c>
      <c r="C161" s="4">
        <v>3.66</v>
      </c>
      <c r="D161" s="4">
        <v>122.3</v>
      </c>
    </row>
    <row r="162">
      <c r="A162" s="3" t="s">
        <v>160</v>
      </c>
      <c r="B162" s="3">
        <v>5.0</v>
      </c>
      <c r="C162" s="4">
        <v>17.28</v>
      </c>
      <c r="D162" s="4">
        <v>168.7</v>
      </c>
    </row>
    <row r="163">
      <c r="A163" s="3" t="s">
        <v>161</v>
      </c>
      <c r="B163" s="3">
        <v>6.0</v>
      </c>
      <c r="C163" s="4">
        <v>0.59</v>
      </c>
      <c r="D163" s="4">
        <v>178.5</v>
      </c>
    </row>
    <row r="164">
      <c r="A164" s="3" t="s">
        <v>162</v>
      </c>
      <c r="B164" s="3">
        <v>5.0</v>
      </c>
      <c r="C164" s="4">
        <v>5.42</v>
      </c>
      <c r="D164" s="4">
        <v>96.8</v>
      </c>
    </row>
    <row r="165">
      <c r="A165" s="3" t="s">
        <v>163</v>
      </c>
      <c r="B165" s="3">
        <v>4.0</v>
      </c>
      <c r="C165" s="4">
        <v>6.13</v>
      </c>
      <c r="D165" s="4">
        <v>120.0</v>
      </c>
    </row>
    <row r="166">
      <c r="A166" s="3" t="s">
        <v>164</v>
      </c>
      <c r="B166" s="3">
        <v>7.0</v>
      </c>
      <c r="C166" s="4">
        <v>12.91</v>
      </c>
      <c r="D166" s="4">
        <v>125.9</v>
      </c>
    </row>
    <row r="167">
      <c r="A167" s="3" t="s">
        <v>165</v>
      </c>
      <c r="B167" s="3">
        <v>1.0</v>
      </c>
      <c r="C167" s="4">
        <v>8.54</v>
      </c>
      <c r="D167" s="4">
        <v>96.1</v>
      </c>
    </row>
    <row r="168">
      <c r="A168" s="3" t="s">
        <v>166</v>
      </c>
      <c r="B168" s="3">
        <v>8.0</v>
      </c>
      <c r="C168" s="4">
        <v>11.0</v>
      </c>
      <c r="D168" s="4">
        <v>138.9</v>
      </c>
    </row>
    <row r="169">
      <c r="A169" s="3" t="s">
        <v>167</v>
      </c>
      <c r="B169" s="3">
        <v>4.0</v>
      </c>
      <c r="C169" s="4">
        <v>15.01</v>
      </c>
      <c r="D169" s="4">
        <v>112.8</v>
      </c>
    </row>
    <row r="170">
      <c r="A170" s="3" t="s">
        <v>168</v>
      </c>
      <c r="B170" s="3">
        <v>5.0</v>
      </c>
      <c r="C170" s="4">
        <v>19.82</v>
      </c>
      <c r="D170" s="4">
        <v>88.0</v>
      </c>
    </row>
    <row r="171">
      <c r="A171" s="3" t="s">
        <v>169</v>
      </c>
      <c r="B171" s="3">
        <v>3.0</v>
      </c>
      <c r="C171" s="4">
        <v>3.77</v>
      </c>
      <c r="D171" s="4">
        <v>111.6</v>
      </c>
    </row>
    <row r="172">
      <c r="A172" s="3">
        <v>7205854.0</v>
      </c>
      <c r="B172" s="3">
        <v>7.0</v>
      </c>
      <c r="C172" s="4">
        <v>7.72</v>
      </c>
      <c r="D172" s="4">
        <v>90.1</v>
      </c>
    </row>
    <row r="173">
      <c r="A173" s="3" t="s">
        <v>170</v>
      </c>
      <c r="B173" s="3">
        <v>2.0</v>
      </c>
      <c r="C173" s="4">
        <v>18.33</v>
      </c>
      <c r="D173" s="4">
        <v>151.1</v>
      </c>
    </row>
    <row r="174">
      <c r="A174" s="3" t="s">
        <v>171</v>
      </c>
      <c r="B174" s="3">
        <v>5.0</v>
      </c>
      <c r="C174" s="4">
        <v>45.52</v>
      </c>
      <c r="D174" s="4">
        <v>177.0</v>
      </c>
    </row>
    <row r="175">
      <c r="A175" s="3" t="s">
        <v>172</v>
      </c>
      <c r="B175" s="3">
        <v>10.0</v>
      </c>
      <c r="C175" s="4">
        <v>22.03</v>
      </c>
      <c r="D175" s="4">
        <v>127.3</v>
      </c>
    </row>
    <row r="176">
      <c r="A176" s="3" t="s">
        <v>173</v>
      </c>
      <c r="B176" s="3">
        <v>7.0</v>
      </c>
      <c r="C176" s="4">
        <v>4.64</v>
      </c>
      <c r="D176" s="4">
        <v>123.3</v>
      </c>
    </row>
    <row r="177">
      <c r="A177" s="3" t="s">
        <v>174</v>
      </c>
      <c r="B177" s="3">
        <v>7.0</v>
      </c>
      <c r="C177" s="4">
        <v>2.17</v>
      </c>
      <c r="D177" s="4">
        <v>124.6</v>
      </c>
    </row>
    <row r="178">
      <c r="A178" s="3" t="s">
        <v>175</v>
      </c>
      <c r="B178" s="3">
        <v>10.0</v>
      </c>
      <c r="C178" s="4">
        <v>6.72</v>
      </c>
      <c r="D178" s="4">
        <v>155.5</v>
      </c>
    </row>
    <row r="179">
      <c r="A179" s="3" t="s">
        <v>176</v>
      </c>
      <c r="B179" s="3">
        <v>1.0</v>
      </c>
      <c r="C179" s="4">
        <v>13.53</v>
      </c>
      <c r="D179" s="4">
        <v>154.8</v>
      </c>
    </row>
    <row r="180">
      <c r="A180" s="3" t="s">
        <v>177</v>
      </c>
      <c r="B180" s="3">
        <v>5.0</v>
      </c>
      <c r="C180" s="4">
        <v>6.78</v>
      </c>
      <c r="D180" s="4">
        <v>116.5</v>
      </c>
    </row>
    <row r="181">
      <c r="A181" s="3" t="s">
        <v>178</v>
      </c>
      <c r="B181" s="3">
        <v>3.0</v>
      </c>
      <c r="C181" s="4">
        <v>6.6</v>
      </c>
      <c r="D181" s="4">
        <v>127.6</v>
      </c>
    </row>
    <row r="182">
      <c r="A182" s="3" t="s">
        <v>179</v>
      </c>
      <c r="B182" s="3">
        <v>8.0</v>
      </c>
      <c r="C182" s="4">
        <v>18.22</v>
      </c>
      <c r="D182" s="4">
        <v>139.6</v>
      </c>
    </row>
    <row r="183">
      <c r="A183" s="3" t="s">
        <v>180</v>
      </c>
      <c r="B183" s="3">
        <v>7.0</v>
      </c>
      <c r="C183" s="4">
        <v>4.48</v>
      </c>
      <c r="D183" s="4">
        <v>85.9</v>
      </c>
    </row>
    <row r="184">
      <c r="A184" s="3" t="s">
        <v>181</v>
      </c>
      <c r="B184" s="3">
        <v>3.0</v>
      </c>
      <c r="C184" s="4">
        <v>19.65</v>
      </c>
      <c r="D184" s="4">
        <v>156.4</v>
      </c>
    </row>
    <row r="185">
      <c r="A185" s="3" t="s">
        <v>182</v>
      </c>
      <c r="B185" s="3">
        <v>1.0</v>
      </c>
      <c r="C185" s="4">
        <v>5.22</v>
      </c>
      <c r="D185" s="4">
        <v>172.0</v>
      </c>
    </row>
    <row r="186">
      <c r="A186" s="3" t="s">
        <v>183</v>
      </c>
      <c r="B186" s="3">
        <v>5.0</v>
      </c>
      <c r="C186" s="4">
        <v>3.98</v>
      </c>
      <c r="D186" s="4">
        <v>155.0</v>
      </c>
    </row>
    <row r="187">
      <c r="A187" s="3" t="s">
        <v>184</v>
      </c>
      <c r="B187" s="3">
        <v>3.0</v>
      </c>
      <c r="C187" s="4">
        <v>6.05</v>
      </c>
      <c r="D187" s="4">
        <v>82.6</v>
      </c>
    </row>
    <row r="188">
      <c r="A188" s="3" t="s">
        <v>185</v>
      </c>
      <c r="B188" s="3">
        <v>6.0</v>
      </c>
      <c r="C188" s="4">
        <v>14.37</v>
      </c>
      <c r="D188" s="4">
        <v>60.9</v>
      </c>
    </row>
    <row r="189">
      <c r="A189" s="3" t="s">
        <v>186</v>
      </c>
      <c r="B189" s="3">
        <v>3.0</v>
      </c>
      <c r="C189" s="4">
        <v>1.35</v>
      </c>
      <c r="D189" s="4">
        <v>141.3</v>
      </c>
    </row>
    <row r="190">
      <c r="A190" s="3" t="s">
        <v>187</v>
      </c>
      <c r="B190" s="3">
        <v>4.0</v>
      </c>
      <c r="C190" s="4">
        <v>2.19</v>
      </c>
      <c r="D190" s="4">
        <v>97.2</v>
      </c>
    </row>
    <row r="191">
      <c r="A191" s="3" t="s">
        <v>188</v>
      </c>
      <c r="B191" s="3">
        <v>5.0</v>
      </c>
      <c r="C191" s="4">
        <v>30.25</v>
      </c>
      <c r="D191" s="4">
        <v>128.6</v>
      </c>
    </row>
    <row r="192">
      <c r="A192" s="3" t="s">
        <v>189</v>
      </c>
      <c r="B192" s="3">
        <v>8.0</v>
      </c>
      <c r="C192" s="4">
        <v>1.93</v>
      </c>
      <c r="D192" s="4">
        <v>166.1</v>
      </c>
    </row>
    <row r="193">
      <c r="A193" s="3" t="s">
        <v>190</v>
      </c>
      <c r="B193" s="3">
        <v>7.0</v>
      </c>
      <c r="C193" s="4">
        <v>8.39</v>
      </c>
      <c r="D193" s="4">
        <v>100.3</v>
      </c>
    </row>
    <row r="194">
      <c r="A194" s="3" t="s">
        <v>191</v>
      </c>
      <c r="B194" s="3">
        <v>5.0</v>
      </c>
      <c r="C194" s="4">
        <v>8.66</v>
      </c>
      <c r="D194" s="4">
        <v>108.7</v>
      </c>
    </row>
    <row r="195">
      <c r="A195" s="3" t="s">
        <v>192</v>
      </c>
      <c r="B195" s="3">
        <v>4.0</v>
      </c>
      <c r="C195" s="4">
        <v>6.73</v>
      </c>
      <c r="D195" s="4">
        <v>128.3</v>
      </c>
    </row>
    <row r="196">
      <c r="A196" s="3" t="s">
        <v>193</v>
      </c>
      <c r="B196" s="3">
        <v>6.0</v>
      </c>
      <c r="C196" s="4">
        <v>10.35</v>
      </c>
      <c r="D196" s="4">
        <v>81.1</v>
      </c>
    </row>
    <row r="197">
      <c r="A197" s="3" t="s">
        <v>194</v>
      </c>
      <c r="B197" s="3">
        <v>8.0</v>
      </c>
      <c r="C197" s="4">
        <v>2.61</v>
      </c>
      <c r="D197" s="4">
        <v>97.3</v>
      </c>
    </row>
    <row r="198">
      <c r="A198" s="3" t="s">
        <v>195</v>
      </c>
      <c r="B198" s="3">
        <v>4.0</v>
      </c>
      <c r="C198" s="4">
        <v>8.04</v>
      </c>
      <c r="D198" s="4">
        <v>120.7</v>
      </c>
    </row>
    <row r="199">
      <c r="A199" s="3">
        <v>5.7756568E7</v>
      </c>
      <c r="B199" s="3">
        <v>3.0</v>
      </c>
      <c r="C199" s="4">
        <v>4.65</v>
      </c>
      <c r="D199" s="4">
        <v>111.0</v>
      </c>
    </row>
    <row r="200">
      <c r="A200" s="3" t="s">
        <v>196</v>
      </c>
      <c r="B200" s="3">
        <v>2.0</v>
      </c>
      <c r="C200" s="4">
        <v>10.84</v>
      </c>
      <c r="D200" s="4">
        <v>138.3</v>
      </c>
    </row>
    <row r="201">
      <c r="A201" s="3" t="s">
        <v>197</v>
      </c>
      <c r="B201" s="3">
        <v>3.0</v>
      </c>
      <c r="C201" s="4">
        <v>1.52</v>
      </c>
      <c r="D201" s="4">
        <v>203.0</v>
      </c>
    </row>
    <row r="202">
      <c r="A202" s="3" t="s">
        <v>198</v>
      </c>
      <c r="B202" s="3">
        <v>9.0</v>
      </c>
      <c r="C202" s="4">
        <v>8.46</v>
      </c>
      <c r="D202" s="4">
        <v>123.0</v>
      </c>
    </row>
    <row r="203">
      <c r="A203" s="3" t="s">
        <v>199</v>
      </c>
      <c r="B203" s="3">
        <v>5.0</v>
      </c>
      <c r="C203" s="4">
        <v>2.05</v>
      </c>
      <c r="D203" s="4">
        <v>94.7</v>
      </c>
    </row>
    <row r="204">
      <c r="A204" s="3" t="s">
        <v>200</v>
      </c>
      <c r="B204" s="3">
        <v>4.0</v>
      </c>
      <c r="C204" s="4">
        <v>3.27</v>
      </c>
      <c r="D204" s="4">
        <v>162.5</v>
      </c>
    </row>
    <row r="205">
      <c r="A205" s="3" t="s">
        <v>201</v>
      </c>
      <c r="B205" s="3">
        <v>7.0</v>
      </c>
      <c r="C205" s="4">
        <v>2.47</v>
      </c>
      <c r="D205" s="4">
        <v>72.3</v>
      </c>
    </row>
    <row r="206">
      <c r="A206" s="3" t="s">
        <v>202</v>
      </c>
      <c r="B206" s="3">
        <v>8.0</v>
      </c>
      <c r="C206" s="4">
        <v>2.02</v>
      </c>
      <c r="D206" s="4">
        <v>78.3</v>
      </c>
    </row>
    <row r="207">
      <c r="A207" s="3" t="s">
        <v>203</v>
      </c>
      <c r="B207" s="3">
        <v>4.0</v>
      </c>
      <c r="C207" s="4">
        <v>17.47</v>
      </c>
      <c r="D207" s="4">
        <v>102.1</v>
      </c>
    </row>
    <row r="208">
      <c r="A208" s="3" t="s">
        <v>204</v>
      </c>
      <c r="B208" s="3">
        <v>4.0</v>
      </c>
      <c r="C208" s="4">
        <v>3.36</v>
      </c>
      <c r="D208" s="4">
        <v>111.5</v>
      </c>
    </row>
    <row r="209">
      <c r="A209" s="3" t="s">
        <v>205</v>
      </c>
      <c r="B209" s="3">
        <v>8.0</v>
      </c>
      <c r="C209" s="4">
        <v>26.19</v>
      </c>
      <c r="D209" s="4">
        <v>101.4</v>
      </c>
    </row>
    <row r="210">
      <c r="A210" s="3" t="s">
        <v>206</v>
      </c>
      <c r="B210" s="3">
        <v>5.0</v>
      </c>
      <c r="C210" s="4">
        <v>35.04</v>
      </c>
      <c r="D210" s="4">
        <v>119.1</v>
      </c>
    </row>
    <row r="211">
      <c r="A211" s="3" t="s">
        <v>207</v>
      </c>
      <c r="B211" s="3">
        <v>5.0</v>
      </c>
      <c r="C211" s="4">
        <v>8.47</v>
      </c>
      <c r="D211" s="4">
        <v>128.2</v>
      </c>
    </row>
    <row r="212">
      <c r="A212" s="3" t="s">
        <v>208</v>
      </c>
      <c r="B212" s="3">
        <v>6.0</v>
      </c>
      <c r="C212" s="4">
        <v>1.54</v>
      </c>
      <c r="D212" s="4">
        <v>152.1</v>
      </c>
    </row>
    <row r="213">
      <c r="A213" s="3" t="s">
        <v>209</v>
      </c>
      <c r="B213" s="3">
        <v>7.0</v>
      </c>
      <c r="C213" s="4">
        <v>4.69</v>
      </c>
      <c r="D213" s="4">
        <v>122.7</v>
      </c>
    </row>
    <row r="214">
      <c r="A214" s="3" t="s">
        <v>210</v>
      </c>
      <c r="B214" s="3">
        <v>2.0</v>
      </c>
      <c r="C214" s="4">
        <v>15.98</v>
      </c>
      <c r="D214" s="4">
        <v>103.1</v>
      </c>
    </row>
    <row r="215">
      <c r="A215" s="3" t="s">
        <v>211</v>
      </c>
      <c r="B215" s="3">
        <v>1.0</v>
      </c>
      <c r="C215" s="4">
        <v>4.58</v>
      </c>
      <c r="D215" s="4">
        <v>150.4</v>
      </c>
    </row>
    <row r="216">
      <c r="A216" s="3" t="s">
        <v>212</v>
      </c>
      <c r="B216" s="3">
        <v>7.0</v>
      </c>
      <c r="C216" s="4">
        <v>0.91</v>
      </c>
      <c r="D216" s="4">
        <v>95.5</v>
      </c>
    </row>
    <row r="217">
      <c r="A217" s="3" t="s">
        <v>213</v>
      </c>
      <c r="B217" s="3">
        <v>5.0</v>
      </c>
      <c r="C217" s="4">
        <v>8.14</v>
      </c>
      <c r="D217" s="4">
        <v>71.0</v>
      </c>
    </row>
    <row r="218">
      <c r="A218" s="3" t="s">
        <v>214</v>
      </c>
      <c r="B218" s="3">
        <v>4.0</v>
      </c>
      <c r="C218" s="4">
        <v>18.65</v>
      </c>
      <c r="D218" s="4">
        <v>156.2</v>
      </c>
    </row>
    <row r="219">
      <c r="A219" s="3" t="s">
        <v>215</v>
      </c>
      <c r="B219" s="3">
        <v>4.0</v>
      </c>
      <c r="C219" s="4">
        <v>15.89</v>
      </c>
      <c r="D219" s="4">
        <v>154.3</v>
      </c>
    </row>
    <row r="220">
      <c r="A220" s="3" t="s">
        <v>216</v>
      </c>
      <c r="B220" s="3">
        <v>3.0</v>
      </c>
      <c r="C220" s="4">
        <v>1.93</v>
      </c>
      <c r="D220" s="4">
        <v>96.2</v>
      </c>
    </row>
    <row r="221">
      <c r="A221" s="3" t="s">
        <v>217</v>
      </c>
      <c r="B221" s="3">
        <v>8.0</v>
      </c>
      <c r="C221" s="4">
        <v>11.17</v>
      </c>
      <c r="D221" s="4">
        <v>108.0</v>
      </c>
    </row>
    <row r="222">
      <c r="A222" s="3" t="s">
        <v>218</v>
      </c>
      <c r="B222" s="3">
        <v>7.0</v>
      </c>
      <c r="C222" s="4">
        <v>2.49</v>
      </c>
      <c r="D222" s="4">
        <v>92.5</v>
      </c>
    </row>
    <row r="223">
      <c r="A223" s="3" t="s">
        <v>219</v>
      </c>
      <c r="B223" s="3">
        <v>1.0</v>
      </c>
      <c r="C223" s="4">
        <v>2.46</v>
      </c>
      <c r="D223" s="4">
        <v>129.8</v>
      </c>
    </row>
    <row r="224">
      <c r="A224" s="3" t="s">
        <v>220</v>
      </c>
      <c r="B224" s="3">
        <v>2.0</v>
      </c>
      <c r="C224" s="4">
        <v>20.72</v>
      </c>
      <c r="D224" s="4">
        <v>172.0</v>
      </c>
    </row>
    <row r="225">
      <c r="A225" s="3" t="s">
        <v>221</v>
      </c>
      <c r="B225" s="3">
        <v>4.0</v>
      </c>
      <c r="C225" s="4">
        <v>2.87</v>
      </c>
      <c r="D225" s="4">
        <v>141.1</v>
      </c>
    </row>
    <row r="226">
      <c r="A226" s="3" t="s">
        <v>222</v>
      </c>
      <c r="B226" s="3">
        <v>6.0</v>
      </c>
      <c r="C226" s="4">
        <v>3.06</v>
      </c>
      <c r="D226" s="4">
        <v>151.1</v>
      </c>
    </row>
    <row r="227">
      <c r="A227" s="3" t="s">
        <v>223</v>
      </c>
      <c r="B227" s="3">
        <v>4.0</v>
      </c>
      <c r="C227" s="4">
        <v>0.01</v>
      </c>
      <c r="D227" s="4">
        <v>144.6</v>
      </c>
    </row>
    <row r="228">
      <c r="A228" s="3" t="s">
        <v>224</v>
      </c>
      <c r="B228" s="3">
        <v>6.0</v>
      </c>
      <c r="C228" s="4">
        <v>20.45</v>
      </c>
      <c r="D228" s="4">
        <v>120.0</v>
      </c>
    </row>
    <row r="229">
      <c r="A229" s="3" t="s">
        <v>225</v>
      </c>
      <c r="B229" s="3">
        <v>8.0</v>
      </c>
      <c r="C229" s="4">
        <v>15.73</v>
      </c>
      <c r="D229" s="4">
        <v>152.5</v>
      </c>
    </row>
    <row r="230">
      <c r="A230" s="3" t="s">
        <v>226</v>
      </c>
      <c r="B230" s="3">
        <v>7.0</v>
      </c>
      <c r="C230" s="4">
        <v>9.87</v>
      </c>
      <c r="D230" s="4">
        <v>142.4</v>
      </c>
    </row>
    <row r="231">
      <c r="A231" s="3" t="s">
        <v>227</v>
      </c>
      <c r="B231" s="3">
        <v>5.0</v>
      </c>
      <c r="C231" s="4">
        <v>13.87</v>
      </c>
      <c r="D231" s="4">
        <v>163.2</v>
      </c>
    </row>
    <row r="232">
      <c r="A232" s="3" t="s">
        <v>228</v>
      </c>
      <c r="B232" s="3">
        <v>2.0</v>
      </c>
      <c r="C232" s="4">
        <v>1.65</v>
      </c>
      <c r="D232" s="4">
        <v>106.2</v>
      </c>
    </row>
    <row r="233">
      <c r="A233" s="3" t="s">
        <v>229</v>
      </c>
      <c r="B233" s="3">
        <v>1.0</v>
      </c>
      <c r="C233" s="4">
        <v>6.13</v>
      </c>
      <c r="D233" s="4">
        <v>67.9</v>
      </c>
    </row>
    <row r="234">
      <c r="A234" s="3" t="s">
        <v>230</v>
      </c>
      <c r="B234" s="3">
        <v>7.0</v>
      </c>
      <c r="C234" s="4">
        <v>4.33</v>
      </c>
      <c r="D234" s="4">
        <v>151.4</v>
      </c>
    </row>
    <row r="235">
      <c r="A235" s="3" t="s">
        <v>231</v>
      </c>
      <c r="B235" s="3">
        <v>4.0</v>
      </c>
      <c r="C235" s="4">
        <v>0.98</v>
      </c>
      <c r="D235" s="4">
        <v>130.5</v>
      </c>
    </row>
    <row r="236">
      <c r="A236" s="3" t="s">
        <v>232</v>
      </c>
      <c r="B236" s="3">
        <v>1.0</v>
      </c>
      <c r="C236" s="4">
        <v>6.66</v>
      </c>
      <c r="D236" s="4">
        <v>111.1</v>
      </c>
    </row>
    <row r="237">
      <c r="A237" s="3" t="s">
        <v>233</v>
      </c>
      <c r="B237" s="3">
        <v>6.0</v>
      </c>
      <c r="C237" s="4">
        <v>25.35</v>
      </c>
      <c r="D237" s="4">
        <v>112.8</v>
      </c>
    </row>
    <row r="238">
      <c r="A238" s="3" t="s">
        <v>234</v>
      </c>
      <c r="B238" s="3">
        <v>5.0</v>
      </c>
      <c r="C238" s="4">
        <v>0.41</v>
      </c>
      <c r="D238" s="4">
        <v>196.6</v>
      </c>
    </row>
    <row r="239">
      <c r="A239" s="3" t="s">
        <v>235</v>
      </c>
      <c r="B239" s="3">
        <v>8.0</v>
      </c>
      <c r="C239" s="4">
        <v>3.45</v>
      </c>
      <c r="D239" s="4">
        <v>100.7</v>
      </c>
    </row>
    <row r="240">
      <c r="A240" s="3" t="s">
        <v>236</v>
      </c>
      <c r="B240" s="3">
        <v>5.0</v>
      </c>
      <c r="C240" s="4">
        <v>2.33</v>
      </c>
      <c r="D240" s="4">
        <v>94.4</v>
      </c>
    </row>
    <row r="241">
      <c r="A241" s="3" t="s">
        <v>237</v>
      </c>
      <c r="B241" s="3">
        <v>4.0</v>
      </c>
      <c r="C241" s="4">
        <v>2.72</v>
      </c>
      <c r="D241" s="4">
        <v>122.6</v>
      </c>
    </row>
    <row r="242">
      <c r="A242" s="3" t="s">
        <v>238</v>
      </c>
      <c r="B242" s="3">
        <v>10.0</v>
      </c>
      <c r="C242" s="4">
        <v>23.91</v>
      </c>
      <c r="D242" s="4">
        <v>155.4</v>
      </c>
    </row>
    <row r="243">
      <c r="A243" s="3" t="s">
        <v>239</v>
      </c>
      <c r="B243" s="3">
        <v>7.0</v>
      </c>
      <c r="C243" s="4">
        <v>6.31</v>
      </c>
      <c r="D243" s="4">
        <v>188.4</v>
      </c>
    </row>
    <row r="244">
      <c r="A244" s="3" t="s">
        <v>240</v>
      </c>
      <c r="B244" s="3">
        <v>4.0</v>
      </c>
      <c r="C244" s="4">
        <v>6.28</v>
      </c>
      <c r="D244" s="4">
        <v>139.7</v>
      </c>
    </row>
    <row r="245">
      <c r="A245" s="3">
        <v>9.1158499E7</v>
      </c>
      <c r="B245" s="3">
        <v>8.0</v>
      </c>
      <c r="C245" s="4">
        <v>14.3</v>
      </c>
      <c r="D245" s="4">
        <v>81.9</v>
      </c>
    </row>
    <row r="246">
      <c r="A246" s="3" t="s">
        <v>241</v>
      </c>
      <c r="B246" s="3">
        <v>5.0</v>
      </c>
      <c r="C246" s="4">
        <v>1.68</v>
      </c>
      <c r="D246" s="4">
        <v>179.1</v>
      </c>
    </row>
    <row r="247">
      <c r="A247" s="3" t="s">
        <v>242</v>
      </c>
      <c r="B247" s="3">
        <v>5.0</v>
      </c>
      <c r="C247" s="4">
        <v>6.68</v>
      </c>
      <c r="D247" s="4">
        <v>119.4</v>
      </c>
    </row>
    <row r="248">
      <c r="A248" s="3" t="s">
        <v>243</v>
      </c>
      <c r="B248" s="3">
        <v>5.0</v>
      </c>
      <c r="C248" s="4">
        <v>5.62</v>
      </c>
      <c r="D248" s="4">
        <v>94.9</v>
      </c>
    </row>
    <row r="249">
      <c r="A249" s="3" t="s">
        <v>244</v>
      </c>
      <c r="B249" s="3">
        <v>2.0</v>
      </c>
      <c r="C249" s="4">
        <v>9.09</v>
      </c>
      <c r="D249" s="4">
        <v>87.6</v>
      </c>
    </row>
    <row r="250">
      <c r="A250" s="3" t="s">
        <v>245</v>
      </c>
      <c r="B250" s="3">
        <v>3.0</v>
      </c>
      <c r="C250" s="4">
        <v>77.24</v>
      </c>
      <c r="D250" s="4">
        <v>145.1</v>
      </c>
    </row>
    <row r="251">
      <c r="A251" s="3" t="s">
        <v>246</v>
      </c>
      <c r="B251" s="3">
        <v>4.0</v>
      </c>
      <c r="C251" s="4">
        <v>14.67</v>
      </c>
      <c r="D251" s="4">
        <v>127.2</v>
      </c>
    </row>
    <row r="252">
      <c r="A252" s="3" t="s">
        <v>247</v>
      </c>
      <c r="B252" s="3">
        <v>9.0</v>
      </c>
      <c r="C252" s="4">
        <v>5.07</v>
      </c>
      <c r="D252" s="4">
        <v>130.4</v>
      </c>
    </row>
    <row r="253">
      <c r="A253" s="3" t="s">
        <v>248</v>
      </c>
      <c r="B253" s="3">
        <v>0.0</v>
      </c>
      <c r="C253" s="4">
        <v>17.58</v>
      </c>
      <c r="D253" s="4">
        <v>158.6</v>
      </c>
    </row>
    <row r="254">
      <c r="A254" s="3">
        <v>4118988.0</v>
      </c>
      <c r="B254" s="3">
        <v>5.0</v>
      </c>
      <c r="C254" s="4">
        <v>1.87</v>
      </c>
      <c r="D254" s="4">
        <v>95.9</v>
      </c>
    </row>
    <row r="255">
      <c r="A255" s="3" t="s">
        <v>249</v>
      </c>
      <c r="B255" s="3">
        <v>5.0</v>
      </c>
      <c r="C255" s="4">
        <v>0.31</v>
      </c>
      <c r="D255" s="4">
        <v>161.0</v>
      </c>
    </row>
    <row r="256">
      <c r="A256" s="3" t="s">
        <v>250</v>
      </c>
      <c r="B256" s="3">
        <v>5.0</v>
      </c>
      <c r="C256" s="4">
        <v>2.29</v>
      </c>
      <c r="D256" s="4">
        <v>104.4</v>
      </c>
    </row>
    <row r="257">
      <c r="A257" s="3" t="s">
        <v>251</v>
      </c>
      <c r="B257" s="3">
        <v>5.0</v>
      </c>
      <c r="C257" s="4">
        <v>4.16</v>
      </c>
      <c r="D257" s="4">
        <v>184.9</v>
      </c>
    </row>
    <row r="258">
      <c r="A258" s="3" t="s">
        <v>252</v>
      </c>
      <c r="B258" s="3">
        <v>4.0</v>
      </c>
      <c r="C258" s="4">
        <v>7.15</v>
      </c>
      <c r="D258" s="4">
        <v>138.0</v>
      </c>
    </row>
    <row r="259">
      <c r="A259" s="3" t="s">
        <v>253</v>
      </c>
      <c r="B259" s="3">
        <v>9.0</v>
      </c>
      <c r="C259" s="4">
        <v>9.55</v>
      </c>
      <c r="D259" s="4">
        <v>92.4</v>
      </c>
    </row>
    <row r="260">
      <c r="A260" s="3" t="s">
        <v>254</v>
      </c>
      <c r="B260" s="3">
        <v>6.0</v>
      </c>
      <c r="C260" s="4">
        <v>24.15</v>
      </c>
      <c r="D260" s="4">
        <v>59.2</v>
      </c>
    </row>
    <row r="261">
      <c r="A261" s="3" t="s">
        <v>255</v>
      </c>
      <c r="B261" s="3">
        <v>2.0</v>
      </c>
      <c r="C261" s="4">
        <v>7.13</v>
      </c>
      <c r="D261" s="4">
        <v>144.3</v>
      </c>
    </row>
    <row r="262">
      <c r="A262" s="3" t="s">
        <v>256</v>
      </c>
      <c r="B262" s="3">
        <v>6.0</v>
      </c>
      <c r="C262" s="4">
        <v>6.96</v>
      </c>
      <c r="D262" s="4">
        <v>108.8</v>
      </c>
    </row>
    <row r="263">
      <c r="A263" s="3" t="s">
        <v>257</v>
      </c>
      <c r="B263" s="3">
        <v>6.0</v>
      </c>
      <c r="C263" s="4">
        <v>0.52</v>
      </c>
      <c r="D263" s="4">
        <v>115.3</v>
      </c>
    </row>
    <row r="264">
      <c r="A264" s="3" t="s">
        <v>258</v>
      </c>
      <c r="B264" s="3">
        <v>6.0</v>
      </c>
      <c r="C264" s="4">
        <v>0.36</v>
      </c>
      <c r="D264" s="4">
        <v>143.0</v>
      </c>
    </row>
    <row r="265">
      <c r="A265" s="3" t="s">
        <v>259</v>
      </c>
      <c r="B265" s="3">
        <v>5.0</v>
      </c>
      <c r="C265" s="4">
        <v>8.01</v>
      </c>
      <c r="D265" s="4">
        <v>150.3</v>
      </c>
    </row>
    <row r="266">
      <c r="A266" s="3" t="s">
        <v>260</v>
      </c>
      <c r="B266" s="3">
        <v>2.0</v>
      </c>
      <c r="C266" s="4">
        <v>5.77</v>
      </c>
      <c r="D266" s="4">
        <v>156.7</v>
      </c>
    </row>
    <row r="267">
      <c r="A267" s="3" t="s">
        <v>261</v>
      </c>
      <c r="B267" s="3">
        <v>5.0</v>
      </c>
      <c r="C267" s="4">
        <v>18.27</v>
      </c>
      <c r="D267" s="4">
        <v>84.8</v>
      </c>
    </row>
    <row r="268">
      <c r="A268" s="3" t="s">
        <v>262</v>
      </c>
      <c r="B268" s="3">
        <v>3.0</v>
      </c>
      <c r="C268" s="4">
        <v>1.75</v>
      </c>
      <c r="D268" s="4">
        <v>162.8</v>
      </c>
    </row>
    <row r="269">
      <c r="A269" s="3" t="s">
        <v>263</v>
      </c>
      <c r="B269" s="3">
        <v>3.0</v>
      </c>
      <c r="C269" s="4">
        <v>0.25</v>
      </c>
      <c r="D269" s="4">
        <v>102.6</v>
      </c>
    </row>
    <row r="270">
      <c r="A270" s="3" t="s">
        <v>264</v>
      </c>
      <c r="B270" s="3">
        <v>3.0</v>
      </c>
      <c r="C270" s="4">
        <v>5.96</v>
      </c>
      <c r="D270" s="4">
        <v>52.3</v>
      </c>
    </row>
    <row r="271">
      <c r="A271" s="3" t="s">
        <v>265</v>
      </c>
      <c r="B271" s="3">
        <v>6.0</v>
      </c>
      <c r="C271" s="4">
        <v>2.71</v>
      </c>
      <c r="D271" s="4">
        <v>84.6</v>
      </c>
    </row>
    <row r="272">
      <c r="A272" s="3" t="s">
        <v>266</v>
      </c>
      <c r="B272" s="3">
        <v>6.0</v>
      </c>
      <c r="C272" s="4">
        <v>0.51</v>
      </c>
      <c r="D272" s="4">
        <v>126.5</v>
      </c>
    </row>
    <row r="273">
      <c r="A273" s="3" t="s">
        <v>267</v>
      </c>
      <c r="B273" s="3">
        <v>4.0</v>
      </c>
      <c r="C273" s="4">
        <v>12.9</v>
      </c>
      <c r="D273" s="4">
        <v>90.6</v>
      </c>
    </row>
    <row r="274">
      <c r="A274" s="3" t="s">
        <v>268</v>
      </c>
      <c r="B274" s="3">
        <v>5.0</v>
      </c>
      <c r="C274" s="4">
        <v>1.18</v>
      </c>
      <c r="D274" s="4">
        <v>117.4</v>
      </c>
    </row>
    <row r="275">
      <c r="A275" s="3" t="s">
        <v>269</v>
      </c>
      <c r="B275" s="3">
        <v>5.0</v>
      </c>
      <c r="C275" s="4">
        <v>9.37</v>
      </c>
      <c r="D275" s="4">
        <v>130.1</v>
      </c>
    </row>
    <row r="276">
      <c r="A276" s="3" t="s">
        <v>270</v>
      </c>
      <c r="B276" s="3">
        <v>7.0</v>
      </c>
      <c r="C276" s="4">
        <v>3.3</v>
      </c>
      <c r="D276" s="4">
        <v>114.6</v>
      </c>
    </row>
    <row r="277">
      <c r="A277" s="3" t="s">
        <v>271</v>
      </c>
      <c r="B277" s="3">
        <v>5.0</v>
      </c>
      <c r="C277" s="4">
        <v>1.91</v>
      </c>
      <c r="D277" s="4">
        <v>105.2</v>
      </c>
    </row>
    <row r="278">
      <c r="A278" s="3">
        <v>5.280363E7</v>
      </c>
      <c r="B278" s="3">
        <v>3.0</v>
      </c>
      <c r="C278" s="4">
        <v>4.78</v>
      </c>
      <c r="D278" s="4">
        <v>82.5</v>
      </c>
    </row>
    <row r="279">
      <c r="A279" s="3" t="s">
        <v>272</v>
      </c>
      <c r="B279" s="3">
        <v>4.0</v>
      </c>
      <c r="C279" s="4">
        <v>16.17</v>
      </c>
      <c r="D279" s="4">
        <v>120.7</v>
      </c>
    </row>
    <row r="280">
      <c r="A280" s="3" t="s">
        <v>273</v>
      </c>
      <c r="B280" s="3">
        <v>7.0</v>
      </c>
      <c r="C280" s="4">
        <v>4.98</v>
      </c>
      <c r="D280" s="4">
        <v>58.1</v>
      </c>
    </row>
    <row r="281">
      <c r="A281" s="3" t="s">
        <v>274</v>
      </c>
      <c r="B281" s="3">
        <v>5.0</v>
      </c>
      <c r="C281" s="4">
        <v>13.89</v>
      </c>
      <c r="D281" s="4">
        <v>99.4</v>
      </c>
    </row>
    <row r="282">
      <c r="A282" s="3" t="s">
        <v>275</v>
      </c>
      <c r="B282" s="3">
        <v>7.0</v>
      </c>
      <c r="C282" s="4">
        <v>1.34</v>
      </c>
      <c r="D282" s="4">
        <v>92.2</v>
      </c>
    </row>
    <row r="283">
      <c r="A283" s="3" t="s">
        <v>276</v>
      </c>
      <c r="B283" s="3">
        <v>8.0</v>
      </c>
      <c r="C283" s="4">
        <v>14.82</v>
      </c>
      <c r="D283" s="4">
        <v>112.8</v>
      </c>
    </row>
    <row r="284">
      <c r="A284" s="3" t="s">
        <v>277</v>
      </c>
      <c r="B284" s="3">
        <v>7.0</v>
      </c>
      <c r="C284" s="4">
        <v>2.7</v>
      </c>
      <c r="D284" s="4">
        <v>113.6</v>
      </c>
    </row>
    <row r="285">
      <c r="A285" s="3">
        <v>1.9291167E7</v>
      </c>
      <c r="B285" s="3">
        <v>5.0</v>
      </c>
      <c r="C285" s="4">
        <v>11.31</v>
      </c>
      <c r="D285" s="4">
        <v>148.8</v>
      </c>
    </row>
    <row r="286">
      <c r="A286" s="3" t="s">
        <v>278</v>
      </c>
      <c r="B286" s="3">
        <v>8.0</v>
      </c>
      <c r="C286" s="4">
        <v>8.34</v>
      </c>
      <c r="D286" s="4">
        <v>167.5</v>
      </c>
    </row>
    <row r="287">
      <c r="A287" s="3" t="s">
        <v>279</v>
      </c>
      <c r="B287" s="3">
        <v>4.0</v>
      </c>
      <c r="C287" s="4">
        <v>26.47</v>
      </c>
      <c r="D287" s="4">
        <v>86.5</v>
      </c>
    </row>
    <row r="288">
      <c r="A288" s="3" t="s">
        <v>280</v>
      </c>
      <c r="B288" s="3">
        <v>6.0</v>
      </c>
      <c r="C288" s="4">
        <v>4.9</v>
      </c>
      <c r="D288" s="4">
        <v>179.8</v>
      </c>
    </row>
    <row r="289">
      <c r="A289" s="3" t="s">
        <v>281</v>
      </c>
      <c r="B289" s="3">
        <v>8.0</v>
      </c>
      <c r="C289" s="4">
        <v>0.68</v>
      </c>
      <c r="D289" s="4">
        <v>96.6</v>
      </c>
    </row>
    <row r="290">
      <c r="A290" s="3" t="s">
        <v>282</v>
      </c>
      <c r="B290" s="3">
        <v>6.0</v>
      </c>
      <c r="C290" s="4">
        <v>0.19</v>
      </c>
      <c r="D290" s="4">
        <v>125.2</v>
      </c>
    </row>
    <row r="291">
      <c r="A291" s="3" t="s">
        <v>283</v>
      </c>
      <c r="B291" s="3">
        <v>3.0</v>
      </c>
      <c r="C291" s="4">
        <v>17.54</v>
      </c>
      <c r="D291" s="4">
        <v>135.3</v>
      </c>
    </row>
    <row r="292">
      <c r="A292" s="3" t="s">
        <v>284</v>
      </c>
      <c r="B292" s="3">
        <v>8.0</v>
      </c>
      <c r="C292" s="4">
        <v>7.44</v>
      </c>
      <c r="D292" s="4">
        <v>193.3</v>
      </c>
    </row>
    <row r="293">
      <c r="A293" s="3" t="s">
        <v>285</v>
      </c>
      <c r="B293" s="3">
        <v>4.0</v>
      </c>
      <c r="C293" s="4">
        <v>14.93</v>
      </c>
      <c r="D293" s="4">
        <v>103.7</v>
      </c>
    </row>
    <row r="294">
      <c r="A294" s="3" t="s">
        <v>286</v>
      </c>
      <c r="B294" s="3">
        <v>7.0</v>
      </c>
      <c r="C294" s="4">
        <v>2.67</v>
      </c>
      <c r="D294" s="4">
        <v>66.1</v>
      </c>
    </row>
    <row r="295">
      <c r="A295" s="3" t="s">
        <v>287</v>
      </c>
      <c r="B295" s="3">
        <v>2.0</v>
      </c>
      <c r="C295" s="4">
        <v>4.23</v>
      </c>
      <c r="D295" s="4">
        <v>164.7</v>
      </c>
    </row>
    <row r="296">
      <c r="A296" s="3" t="s">
        <v>288</v>
      </c>
      <c r="B296" s="3">
        <v>10.0</v>
      </c>
      <c r="C296" s="4">
        <v>0.31</v>
      </c>
      <c r="D296" s="4">
        <v>95.0</v>
      </c>
    </row>
    <row r="297">
      <c r="A297" s="3" t="s">
        <v>289</v>
      </c>
      <c r="B297" s="3">
        <v>6.0</v>
      </c>
      <c r="C297" s="4">
        <v>32.57</v>
      </c>
      <c r="D297" s="4">
        <v>109.2</v>
      </c>
    </row>
    <row r="298">
      <c r="A298" s="3" t="s">
        <v>290</v>
      </c>
      <c r="B298" s="3">
        <v>4.0</v>
      </c>
      <c r="C298" s="4">
        <v>11.02</v>
      </c>
      <c r="D298" s="4">
        <v>86.5</v>
      </c>
    </row>
    <row r="299">
      <c r="A299" s="3" t="s">
        <v>291</v>
      </c>
      <c r="B299" s="3">
        <v>5.0</v>
      </c>
      <c r="C299" s="4">
        <v>27.06</v>
      </c>
      <c r="D299" s="4">
        <v>109.2</v>
      </c>
    </row>
    <row r="300">
      <c r="A300" s="3" t="s">
        <v>292</v>
      </c>
      <c r="B300" s="3">
        <v>6.0</v>
      </c>
      <c r="C300" s="4">
        <v>3.09</v>
      </c>
      <c r="D300" s="4">
        <v>94.8</v>
      </c>
    </row>
    <row r="301">
      <c r="A301" s="3" t="s">
        <v>293</v>
      </c>
      <c r="B301" s="3">
        <v>4.0</v>
      </c>
      <c r="C301" s="4">
        <v>9.45</v>
      </c>
      <c r="D301" s="4">
        <v>140.3</v>
      </c>
    </row>
    <row r="302">
      <c r="A302" s="3" t="s">
        <v>294</v>
      </c>
      <c r="B302" s="3">
        <v>5.0</v>
      </c>
      <c r="C302" s="4">
        <v>11.35</v>
      </c>
      <c r="D302" s="4">
        <v>122.4</v>
      </c>
    </row>
    <row r="303">
      <c r="A303" s="3" t="s">
        <v>295</v>
      </c>
      <c r="B303" s="3">
        <v>6.0</v>
      </c>
      <c r="C303" s="4">
        <v>3.82</v>
      </c>
      <c r="D303" s="4">
        <v>99.6</v>
      </c>
    </row>
    <row r="304">
      <c r="A304" s="3" t="s">
        <v>296</v>
      </c>
      <c r="B304" s="3">
        <v>3.0</v>
      </c>
      <c r="C304" s="4">
        <v>18.85</v>
      </c>
      <c r="D304" s="4">
        <v>149.9</v>
      </c>
    </row>
    <row r="305">
      <c r="A305" s="3" t="s">
        <v>297</v>
      </c>
      <c r="B305" s="3">
        <v>7.0</v>
      </c>
      <c r="C305" s="4">
        <v>29.41</v>
      </c>
      <c r="D305" s="4">
        <v>127.6</v>
      </c>
    </row>
    <row r="306">
      <c r="A306" s="3" t="s">
        <v>298</v>
      </c>
      <c r="B306" s="3">
        <v>7.0</v>
      </c>
      <c r="C306" s="4">
        <v>21.62</v>
      </c>
      <c r="D306" s="4">
        <v>64.6</v>
      </c>
    </row>
    <row r="307">
      <c r="A307" s="3" t="s">
        <v>299</v>
      </c>
      <c r="B307" s="3">
        <v>8.0</v>
      </c>
      <c r="C307" s="4">
        <v>13.43</v>
      </c>
      <c r="D307" s="4">
        <v>147.6</v>
      </c>
    </row>
    <row r="308">
      <c r="A308" s="3" t="s">
        <v>300</v>
      </c>
      <c r="B308" s="3">
        <v>4.0</v>
      </c>
      <c r="C308" s="4">
        <v>3.25</v>
      </c>
      <c r="D308" s="4">
        <v>125.5</v>
      </c>
    </row>
    <row r="309">
      <c r="A309" s="3" t="s">
        <v>301</v>
      </c>
      <c r="B309" s="3">
        <v>7.0</v>
      </c>
      <c r="C309" s="4">
        <v>3.31</v>
      </c>
      <c r="D309" s="4">
        <v>161.7</v>
      </c>
    </row>
    <row r="310">
      <c r="A310" s="3" t="s">
        <v>302</v>
      </c>
      <c r="B310" s="3">
        <v>3.0</v>
      </c>
      <c r="C310" s="4">
        <v>33.07</v>
      </c>
      <c r="D310" s="4">
        <v>123.7</v>
      </c>
    </row>
    <row r="311">
      <c r="A311" s="3" t="s">
        <v>303</v>
      </c>
      <c r="B311" s="3">
        <v>4.0</v>
      </c>
      <c r="C311" s="4">
        <v>0.1</v>
      </c>
      <c r="D311" s="4">
        <v>96.2</v>
      </c>
    </row>
    <row r="312">
      <c r="A312" s="3" t="s">
        <v>304</v>
      </c>
      <c r="B312" s="3">
        <v>4.0</v>
      </c>
      <c r="C312" s="4">
        <v>12.59</v>
      </c>
      <c r="D312" s="4">
        <v>113.9</v>
      </c>
    </row>
    <row r="313">
      <c r="A313" s="3" t="s">
        <v>305</v>
      </c>
      <c r="B313" s="3">
        <v>0.0</v>
      </c>
      <c r="C313" s="4">
        <v>12.25</v>
      </c>
      <c r="D313" s="4">
        <v>144.1</v>
      </c>
    </row>
    <row r="314">
      <c r="A314" s="3" t="s">
        <v>306</v>
      </c>
      <c r="B314" s="3">
        <v>1.0</v>
      </c>
      <c r="C314" s="4">
        <v>9.75</v>
      </c>
      <c r="D314" s="4">
        <v>96.9</v>
      </c>
    </row>
    <row r="315">
      <c r="A315" s="3" t="s">
        <v>307</v>
      </c>
      <c r="B315" s="3">
        <v>1.0</v>
      </c>
      <c r="C315" s="4">
        <v>46.16</v>
      </c>
      <c r="D315" s="4">
        <v>106.8</v>
      </c>
    </row>
    <row r="316">
      <c r="A316" s="3" t="s">
        <v>308</v>
      </c>
      <c r="B316" s="3">
        <v>7.0</v>
      </c>
      <c r="C316" s="4">
        <v>3.74</v>
      </c>
      <c r="D316" s="4">
        <v>113.3</v>
      </c>
    </row>
    <row r="317">
      <c r="A317" s="3" t="s">
        <v>309</v>
      </c>
      <c r="B317" s="3">
        <v>5.0</v>
      </c>
      <c r="C317" s="4">
        <v>4.15</v>
      </c>
      <c r="D317" s="4">
        <v>85.5</v>
      </c>
    </row>
    <row r="318">
      <c r="A318" s="3">
        <v>4.1859815E7</v>
      </c>
      <c r="B318" s="3">
        <v>5.0</v>
      </c>
      <c r="C318" s="4">
        <v>0.82</v>
      </c>
      <c r="D318" s="4">
        <v>97.3</v>
      </c>
    </row>
    <row r="319">
      <c r="A319" s="3" t="s">
        <v>310</v>
      </c>
      <c r="B319" s="3">
        <v>8.0</v>
      </c>
      <c r="C319" s="4">
        <v>5.85</v>
      </c>
      <c r="D319" s="4">
        <v>125.2</v>
      </c>
    </row>
    <row r="320">
      <c r="A320" s="3" t="s">
        <v>311</v>
      </c>
      <c r="B320" s="3">
        <v>3.0</v>
      </c>
      <c r="C320" s="4">
        <v>3.03</v>
      </c>
      <c r="D320" s="4">
        <v>156.1</v>
      </c>
    </row>
    <row r="321">
      <c r="A321" s="3" t="s">
        <v>312</v>
      </c>
      <c r="B321" s="3">
        <v>5.0</v>
      </c>
      <c r="C321" s="4">
        <v>4.21</v>
      </c>
      <c r="D321" s="4">
        <v>129.5</v>
      </c>
    </row>
    <row r="322">
      <c r="A322" s="3" t="s">
        <v>313</v>
      </c>
      <c r="B322" s="3">
        <v>3.0</v>
      </c>
      <c r="C322" s="4">
        <v>17.99</v>
      </c>
      <c r="D322" s="4">
        <v>118.6</v>
      </c>
    </row>
    <row r="323">
      <c r="A323" s="3" t="s">
        <v>314</v>
      </c>
      <c r="B323" s="3">
        <v>5.0</v>
      </c>
      <c r="C323" s="4">
        <v>27.41</v>
      </c>
      <c r="D323" s="4">
        <v>95.1</v>
      </c>
    </row>
    <row r="324">
      <c r="A324" s="3" t="s">
        <v>315</v>
      </c>
      <c r="B324" s="3">
        <v>1.0</v>
      </c>
      <c r="C324" s="4">
        <v>2.05</v>
      </c>
      <c r="D324" s="4">
        <v>152.9</v>
      </c>
    </row>
    <row r="325">
      <c r="A325" s="3" t="s">
        <v>316</v>
      </c>
      <c r="B325" s="3">
        <v>7.0</v>
      </c>
      <c r="C325" s="4">
        <v>4.66</v>
      </c>
      <c r="D325" s="4">
        <v>133.0</v>
      </c>
    </row>
    <row r="326">
      <c r="A326" s="3" t="s">
        <v>317</v>
      </c>
      <c r="B326" s="3">
        <v>2.0</v>
      </c>
      <c r="C326" s="4">
        <v>26.4</v>
      </c>
      <c r="D326" s="4">
        <v>98.8</v>
      </c>
    </row>
    <row r="327">
      <c r="A327" s="3" t="s">
        <v>318</v>
      </c>
      <c r="B327" s="3">
        <v>4.0</v>
      </c>
      <c r="C327" s="4">
        <v>0.64</v>
      </c>
      <c r="D327" s="4">
        <v>147.0</v>
      </c>
    </row>
    <row r="328">
      <c r="A328" s="3" t="s">
        <v>319</v>
      </c>
      <c r="B328" s="3">
        <v>6.0</v>
      </c>
      <c r="C328" s="4">
        <v>0.97</v>
      </c>
      <c r="D328" s="4">
        <v>136.8</v>
      </c>
    </row>
    <row r="329">
      <c r="A329" s="3" t="s">
        <v>320</v>
      </c>
      <c r="B329" s="3">
        <v>7.0</v>
      </c>
      <c r="C329" s="4">
        <v>1.78</v>
      </c>
      <c r="D329" s="4">
        <v>95.6</v>
      </c>
    </row>
    <row r="330">
      <c r="A330" s="3" t="s">
        <v>321</v>
      </c>
      <c r="B330" s="3">
        <v>9.0</v>
      </c>
      <c r="C330" s="4">
        <v>9.04</v>
      </c>
      <c r="D330" s="4">
        <v>117.0</v>
      </c>
    </row>
    <row r="331">
      <c r="A331" s="3" t="s">
        <v>322</v>
      </c>
      <c r="B331" s="3">
        <v>4.0</v>
      </c>
      <c r="C331" s="4">
        <v>1.63</v>
      </c>
      <c r="D331" s="4">
        <v>105.2</v>
      </c>
    </row>
    <row r="332">
      <c r="A332" s="3" t="s">
        <v>323</v>
      </c>
      <c r="B332" s="3">
        <v>1.0</v>
      </c>
      <c r="C332" s="4">
        <v>34.44</v>
      </c>
      <c r="D332" s="4">
        <v>199.0</v>
      </c>
    </row>
    <row r="333">
      <c r="A333" s="3" t="s">
        <v>324</v>
      </c>
      <c r="B333" s="3">
        <v>4.0</v>
      </c>
      <c r="C333" s="4">
        <v>5.92</v>
      </c>
      <c r="D333" s="4">
        <v>136.0</v>
      </c>
    </row>
    <row r="334">
      <c r="A334" s="3" t="s">
        <v>325</v>
      </c>
      <c r="B334" s="3">
        <v>6.0</v>
      </c>
      <c r="C334" s="4">
        <v>6.96</v>
      </c>
      <c r="D334" s="4">
        <v>125.6</v>
      </c>
    </row>
    <row r="335">
      <c r="A335" s="3" t="s">
        <v>326</v>
      </c>
      <c r="B335" s="3">
        <v>3.0</v>
      </c>
      <c r="C335" s="4">
        <v>2.83</v>
      </c>
      <c r="D335" s="4">
        <v>134.2</v>
      </c>
    </row>
    <row r="336">
      <c r="A336" s="3" t="s">
        <v>327</v>
      </c>
      <c r="B336" s="3">
        <v>4.0</v>
      </c>
      <c r="C336" s="4">
        <v>6.37</v>
      </c>
      <c r="D336" s="4">
        <v>161.4</v>
      </c>
    </row>
    <row r="337">
      <c r="A337" s="3" t="s">
        <v>328</v>
      </c>
      <c r="B337" s="3">
        <v>2.0</v>
      </c>
      <c r="C337" s="4">
        <v>10.84</v>
      </c>
      <c r="D337" s="4">
        <v>117.5</v>
      </c>
    </row>
    <row r="338">
      <c r="A338" s="3" t="s">
        <v>329</v>
      </c>
      <c r="B338" s="3">
        <v>6.0</v>
      </c>
      <c r="C338" s="4">
        <v>13.91</v>
      </c>
      <c r="D338" s="4">
        <v>102.3</v>
      </c>
    </row>
    <row r="339">
      <c r="A339" s="3" t="s">
        <v>330</v>
      </c>
      <c r="B339" s="3">
        <v>8.0</v>
      </c>
      <c r="C339" s="4">
        <v>14.02</v>
      </c>
      <c r="D339" s="4">
        <v>145.3</v>
      </c>
    </row>
    <row r="340">
      <c r="A340" s="3" t="s">
        <v>331</v>
      </c>
      <c r="B340" s="3">
        <v>7.0</v>
      </c>
      <c r="C340" s="4">
        <v>8.62</v>
      </c>
      <c r="D340" s="4">
        <v>114.8</v>
      </c>
    </row>
    <row r="341">
      <c r="A341" s="3" t="s">
        <v>332</v>
      </c>
      <c r="B341" s="3">
        <v>2.0</v>
      </c>
      <c r="C341" s="4">
        <v>23.47</v>
      </c>
      <c r="D341" s="4">
        <v>87.9</v>
      </c>
    </row>
    <row r="342">
      <c r="A342" s="3" t="s">
        <v>333</v>
      </c>
      <c r="B342" s="3">
        <v>6.0</v>
      </c>
      <c r="C342" s="4">
        <v>17.01</v>
      </c>
      <c r="D342" s="4">
        <v>82.1</v>
      </c>
    </row>
    <row r="343">
      <c r="A343" s="3" t="s">
        <v>334</v>
      </c>
      <c r="B343" s="3">
        <v>9.0</v>
      </c>
      <c r="C343" s="4">
        <v>14.15</v>
      </c>
      <c r="D343" s="4">
        <v>165.9</v>
      </c>
    </row>
    <row r="344">
      <c r="A344" s="3" t="s">
        <v>335</v>
      </c>
      <c r="B344" s="3">
        <v>3.0</v>
      </c>
      <c r="C344" s="4">
        <v>0.57</v>
      </c>
      <c r="D344" s="4">
        <v>123.9</v>
      </c>
    </row>
    <row r="345">
      <c r="A345" s="3" t="s">
        <v>336</v>
      </c>
      <c r="B345" s="3">
        <v>8.0</v>
      </c>
      <c r="C345" s="4">
        <v>0.07</v>
      </c>
      <c r="D345" s="4">
        <v>102.3</v>
      </c>
    </row>
    <row r="346">
      <c r="A346" s="3" t="s">
        <v>337</v>
      </c>
      <c r="B346" s="3">
        <v>7.0</v>
      </c>
      <c r="C346" s="4">
        <v>2.39</v>
      </c>
      <c r="D346" s="4">
        <v>113.0</v>
      </c>
    </row>
    <row r="347">
      <c r="A347" s="3" t="s">
        <v>338</v>
      </c>
      <c r="B347" s="3">
        <v>6.0</v>
      </c>
      <c r="C347" s="4">
        <v>10.89</v>
      </c>
      <c r="D347" s="4">
        <v>144.2</v>
      </c>
    </row>
    <row r="348">
      <c r="A348" s="3" t="s">
        <v>339</v>
      </c>
      <c r="B348" s="3">
        <v>10.0</v>
      </c>
      <c r="C348" s="4">
        <v>5.3</v>
      </c>
      <c r="D348" s="4">
        <v>111.2</v>
      </c>
    </row>
    <row r="349">
      <c r="A349" s="3" t="s">
        <v>340</v>
      </c>
      <c r="B349" s="3">
        <v>5.0</v>
      </c>
      <c r="C349" s="4">
        <v>5.15</v>
      </c>
      <c r="D349" s="4">
        <v>76.5</v>
      </c>
    </row>
    <row r="350">
      <c r="A350" s="3" t="s">
        <v>341</v>
      </c>
      <c r="B350" s="3">
        <v>5.0</v>
      </c>
      <c r="C350" s="4">
        <v>21.59</v>
      </c>
      <c r="D350" s="4">
        <v>129.8</v>
      </c>
    </row>
    <row r="351">
      <c r="A351" s="3" t="s">
        <v>342</v>
      </c>
      <c r="B351" s="3">
        <v>5.0</v>
      </c>
      <c r="C351" s="4">
        <v>22.59</v>
      </c>
      <c r="D351" s="4">
        <v>156.3</v>
      </c>
    </row>
    <row r="352">
      <c r="A352" s="3" t="s">
        <v>343</v>
      </c>
      <c r="B352" s="3">
        <v>5.0</v>
      </c>
      <c r="C352" s="4">
        <v>23.99</v>
      </c>
      <c r="D352" s="4">
        <v>154.2</v>
      </c>
    </row>
    <row r="353">
      <c r="A353" s="3" t="s">
        <v>344</v>
      </c>
      <c r="B353" s="3">
        <v>4.0</v>
      </c>
      <c r="C353" s="4">
        <v>3.77</v>
      </c>
      <c r="D353" s="4">
        <v>103.2</v>
      </c>
    </row>
    <row r="354">
      <c r="A354" s="3" t="s">
        <v>345</v>
      </c>
      <c r="B354" s="3">
        <v>10.0</v>
      </c>
      <c r="C354" s="4">
        <v>11.75</v>
      </c>
      <c r="D354" s="4">
        <v>158.1</v>
      </c>
    </row>
    <row r="355">
      <c r="A355" s="3" t="s">
        <v>346</v>
      </c>
      <c r="B355" s="3">
        <v>3.0</v>
      </c>
      <c r="C355" s="4">
        <v>3.17</v>
      </c>
      <c r="D355" s="4">
        <v>126.4</v>
      </c>
    </row>
    <row r="356">
      <c r="A356" s="3" t="s">
        <v>347</v>
      </c>
      <c r="B356" s="3">
        <v>2.0</v>
      </c>
      <c r="C356" s="4">
        <v>2.11</v>
      </c>
      <c r="D356" s="4">
        <v>157.2</v>
      </c>
    </row>
    <row r="357">
      <c r="A357" s="3" t="s">
        <v>348</v>
      </c>
      <c r="B357" s="3">
        <v>6.0</v>
      </c>
      <c r="C357" s="4">
        <v>2.04</v>
      </c>
      <c r="D357" s="4">
        <v>137.2</v>
      </c>
    </row>
    <row r="358">
      <c r="A358" s="3" t="s">
        <v>349</v>
      </c>
      <c r="B358" s="3">
        <v>4.0</v>
      </c>
      <c r="C358" s="4">
        <v>4.19</v>
      </c>
      <c r="D358" s="4">
        <v>74.4</v>
      </c>
    </row>
    <row r="359">
      <c r="A359" s="3" t="s">
        <v>350</v>
      </c>
      <c r="B359" s="3">
        <v>4.0</v>
      </c>
      <c r="C359" s="4">
        <v>5.62</v>
      </c>
      <c r="D359" s="4">
        <v>172.4</v>
      </c>
    </row>
    <row r="360">
      <c r="A360" s="3" t="s">
        <v>351</v>
      </c>
      <c r="B360" s="3">
        <v>8.0</v>
      </c>
      <c r="C360" s="4">
        <v>17.78</v>
      </c>
      <c r="D360" s="4">
        <v>121.6</v>
      </c>
    </row>
    <row r="361">
      <c r="A361" s="3" t="s">
        <v>352</v>
      </c>
      <c r="B361" s="3">
        <v>5.0</v>
      </c>
      <c r="C361" s="4">
        <v>1.28</v>
      </c>
      <c r="D361" s="4">
        <v>137.3</v>
      </c>
    </row>
    <row r="362">
      <c r="A362" s="3" t="s">
        <v>353</v>
      </c>
      <c r="B362" s="3">
        <v>4.0</v>
      </c>
      <c r="C362" s="4">
        <v>13.28</v>
      </c>
      <c r="D362" s="4">
        <v>79.7</v>
      </c>
    </row>
    <row r="363">
      <c r="A363" s="3" t="s">
        <v>354</v>
      </c>
      <c r="B363" s="3">
        <v>7.0</v>
      </c>
      <c r="C363" s="4">
        <v>7.58</v>
      </c>
      <c r="D363" s="4">
        <v>135.2</v>
      </c>
    </row>
    <row r="364">
      <c r="A364" s="3" t="s">
        <v>355</v>
      </c>
      <c r="B364" s="3">
        <v>4.0</v>
      </c>
      <c r="C364" s="4">
        <v>3.4</v>
      </c>
      <c r="D364" s="4">
        <v>153.1</v>
      </c>
    </row>
    <row r="365">
      <c r="A365" s="3" t="s">
        <v>356</v>
      </c>
      <c r="B365" s="3">
        <v>2.0</v>
      </c>
      <c r="C365" s="4">
        <v>6.79</v>
      </c>
      <c r="D365" s="4">
        <v>178.1</v>
      </c>
    </row>
    <row r="366">
      <c r="A366" s="3" t="s">
        <v>357</v>
      </c>
      <c r="B366" s="3">
        <v>2.0</v>
      </c>
      <c r="C366" s="4">
        <v>3.57</v>
      </c>
      <c r="D366" s="4">
        <v>162.0</v>
      </c>
    </row>
    <row r="367">
      <c r="A367" s="3" t="s">
        <v>358</v>
      </c>
      <c r="B367" s="3">
        <v>3.0</v>
      </c>
      <c r="C367" s="4">
        <v>9.07</v>
      </c>
      <c r="D367" s="4">
        <v>136.6</v>
      </c>
    </row>
    <row r="368">
      <c r="A368" s="3" t="s">
        <v>359</v>
      </c>
      <c r="B368" s="3">
        <v>3.0</v>
      </c>
      <c r="C368" s="4">
        <v>5.69</v>
      </c>
      <c r="D368" s="4">
        <v>73.7</v>
      </c>
    </row>
    <row r="369">
      <c r="A369" s="3" t="s">
        <v>360</v>
      </c>
      <c r="B369" s="3">
        <v>8.0</v>
      </c>
      <c r="C369" s="4">
        <v>1.8</v>
      </c>
      <c r="D369" s="4">
        <v>124.0</v>
      </c>
    </row>
    <row r="370">
      <c r="A370" s="3" t="s">
        <v>361</v>
      </c>
      <c r="B370" s="3">
        <v>6.0</v>
      </c>
      <c r="C370" s="4">
        <v>1.24</v>
      </c>
      <c r="D370" s="4">
        <v>102.2</v>
      </c>
    </row>
    <row r="371">
      <c r="A371" s="3" t="s">
        <v>362</v>
      </c>
      <c r="B371" s="3">
        <v>0.0</v>
      </c>
      <c r="C371" s="4">
        <v>7.91</v>
      </c>
      <c r="D371" s="4">
        <v>127.0</v>
      </c>
    </row>
    <row r="372">
      <c r="A372" s="3" t="s">
        <v>363</v>
      </c>
      <c r="B372" s="3">
        <v>8.0</v>
      </c>
      <c r="C372" s="4">
        <v>23.27</v>
      </c>
      <c r="D372" s="4">
        <v>83.5</v>
      </c>
    </row>
    <row r="373">
      <c r="A373" s="3" t="s">
        <v>364</v>
      </c>
      <c r="B373" s="3">
        <v>5.0</v>
      </c>
      <c r="C373" s="4">
        <v>4.22</v>
      </c>
      <c r="D373" s="4">
        <v>113.7</v>
      </c>
    </row>
    <row r="374">
      <c r="A374" s="3" t="s">
        <v>365</v>
      </c>
      <c r="B374" s="3">
        <v>4.0</v>
      </c>
      <c r="C374" s="4">
        <v>13.21</v>
      </c>
      <c r="D374" s="4">
        <v>104.5</v>
      </c>
    </row>
    <row r="375">
      <c r="A375" s="3" t="s">
        <v>366</v>
      </c>
      <c r="B375" s="3">
        <v>5.0</v>
      </c>
      <c r="C375" s="4">
        <v>10.75</v>
      </c>
      <c r="D375" s="4">
        <v>103.6</v>
      </c>
    </row>
    <row r="376">
      <c r="A376" s="3" t="s">
        <v>367</v>
      </c>
      <c r="B376" s="3">
        <v>7.0</v>
      </c>
      <c r="C376" s="4">
        <v>26.82</v>
      </c>
      <c r="D376" s="4">
        <v>103.9</v>
      </c>
    </row>
    <row r="377">
      <c r="A377" s="3" t="s">
        <v>368</v>
      </c>
      <c r="B377" s="3">
        <v>6.0</v>
      </c>
      <c r="C377" s="4">
        <v>17.2</v>
      </c>
      <c r="D377" s="4">
        <v>115.9</v>
      </c>
    </row>
    <row r="378">
      <c r="A378" s="3" t="s">
        <v>369</v>
      </c>
      <c r="B378" s="3">
        <v>3.0</v>
      </c>
      <c r="C378" s="4">
        <v>8.36</v>
      </c>
      <c r="D378" s="4">
        <v>128.6</v>
      </c>
    </row>
    <row r="379">
      <c r="A379" s="3" t="s">
        <v>370</v>
      </c>
      <c r="B379" s="3">
        <v>4.0</v>
      </c>
      <c r="C379" s="4">
        <v>10.7</v>
      </c>
      <c r="D379" s="4">
        <v>45.0</v>
      </c>
    </row>
    <row r="380">
      <c r="A380" s="3" t="s">
        <v>371</v>
      </c>
      <c r="B380" s="3">
        <v>2.0</v>
      </c>
      <c r="C380" s="4">
        <v>22.87</v>
      </c>
      <c r="D380" s="4">
        <v>48.7</v>
      </c>
    </row>
    <row r="381">
      <c r="A381" s="3">
        <v>3.0219571E7</v>
      </c>
      <c r="B381" s="3">
        <v>4.0</v>
      </c>
      <c r="C381" s="4">
        <v>5.1</v>
      </c>
      <c r="D381" s="4">
        <v>109.8</v>
      </c>
    </row>
    <row r="382">
      <c r="A382" s="3" t="s">
        <v>372</v>
      </c>
      <c r="B382" s="3">
        <v>1.0</v>
      </c>
      <c r="C382" s="4">
        <v>3.96</v>
      </c>
      <c r="D382" s="4">
        <v>114.1</v>
      </c>
    </row>
    <row r="383">
      <c r="A383" s="3" t="s">
        <v>373</v>
      </c>
      <c r="B383" s="3">
        <v>9.0</v>
      </c>
      <c r="C383" s="4">
        <v>0.11</v>
      </c>
      <c r="D383" s="4">
        <v>125.7</v>
      </c>
    </row>
    <row r="384">
      <c r="A384" s="3" t="s">
        <v>374</v>
      </c>
      <c r="B384" s="3">
        <v>3.0</v>
      </c>
      <c r="C384" s="4">
        <v>17.52</v>
      </c>
      <c r="D384" s="4">
        <v>98.2</v>
      </c>
    </row>
    <row r="385">
      <c r="A385" s="3" t="s">
        <v>375</v>
      </c>
      <c r="B385" s="3">
        <v>1.0</v>
      </c>
      <c r="C385" s="4">
        <v>16.14</v>
      </c>
      <c r="D385" s="4">
        <v>120.3</v>
      </c>
    </row>
    <row r="386">
      <c r="A386" s="3" t="s">
        <v>376</v>
      </c>
      <c r="B386" s="3">
        <v>5.0</v>
      </c>
      <c r="C386" s="4">
        <v>1.1</v>
      </c>
      <c r="D386" s="4">
        <v>123.8</v>
      </c>
    </row>
    <row r="387">
      <c r="A387" s="3" t="s">
        <v>377</v>
      </c>
      <c r="B387" s="3">
        <v>4.0</v>
      </c>
      <c r="C387" s="4">
        <v>8.6</v>
      </c>
      <c r="D387" s="4">
        <v>98.0</v>
      </c>
    </row>
    <row r="388">
      <c r="A388" s="3" t="s">
        <v>378</v>
      </c>
      <c r="B388" s="3">
        <v>6.0</v>
      </c>
      <c r="C388" s="4">
        <v>6.24</v>
      </c>
      <c r="D388" s="4">
        <v>150.4</v>
      </c>
    </row>
    <row r="389">
      <c r="A389" s="3" t="s">
        <v>379</v>
      </c>
      <c r="B389" s="3">
        <v>5.0</v>
      </c>
      <c r="C389" s="4">
        <v>1.26</v>
      </c>
      <c r="D389" s="4">
        <v>125.3</v>
      </c>
    </row>
    <row r="390">
      <c r="A390" s="3" t="s">
        <v>380</v>
      </c>
      <c r="B390" s="3">
        <v>8.0</v>
      </c>
      <c r="C390" s="4">
        <v>39.41</v>
      </c>
      <c r="D390" s="4">
        <v>136.4</v>
      </c>
    </row>
    <row r="391">
      <c r="A391" s="5">
        <v>2.06458E8</v>
      </c>
      <c r="B391" s="3">
        <v>5.0</v>
      </c>
      <c r="C391" s="4">
        <v>2.42</v>
      </c>
      <c r="D391" s="4">
        <v>122.1</v>
      </c>
    </row>
    <row r="392">
      <c r="A392" s="3" t="s">
        <v>381</v>
      </c>
      <c r="B392" s="3">
        <v>7.0</v>
      </c>
      <c r="C392" s="4">
        <v>0.7</v>
      </c>
      <c r="D392" s="4">
        <v>183.1</v>
      </c>
    </row>
    <row r="393">
      <c r="A393" s="3" t="s">
        <v>382</v>
      </c>
      <c r="B393" s="3">
        <v>4.0</v>
      </c>
      <c r="C393" s="4">
        <v>9.03</v>
      </c>
      <c r="D393" s="4">
        <v>137.9</v>
      </c>
    </row>
    <row r="394">
      <c r="A394" s="3" t="s">
        <v>383</v>
      </c>
      <c r="B394" s="3">
        <v>1.0</v>
      </c>
      <c r="C394" s="4">
        <v>13.43</v>
      </c>
      <c r="D394" s="4">
        <v>105.4</v>
      </c>
    </row>
    <row r="395">
      <c r="A395" s="3" t="s">
        <v>384</v>
      </c>
      <c r="B395" s="3">
        <v>5.0</v>
      </c>
      <c r="C395" s="4">
        <v>0.33</v>
      </c>
      <c r="D395" s="4">
        <v>144.6</v>
      </c>
    </row>
    <row r="396">
      <c r="A396" s="3" t="s">
        <v>385</v>
      </c>
      <c r="B396" s="3">
        <v>4.0</v>
      </c>
      <c r="C396" s="4">
        <v>10.75</v>
      </c>
      <c r="D396" s="4">
        <v>70.9</v>
      </c>
    </row>
    <row r="397">
      <c r="A397" s="3" t="s">
        <v>386</v>
      </c>
      <c r="B397" s="3">
        <v>3.0</v>
      </c>
      <c r="C397" s="4">
        <v>7.6</v>
      </c>
      <c r="D397" s="4">
        <v>123.6</v>
      </c>
    </row>
    <row r="398">
      <c r="A398" s="3" t="s">
        <v>387</v>
      </c>
      <c r="B398" s="3">
        <v>2.0</v>
      </c>
      <c r="C398" s="4">
        <v>1.09</v>
      </c>
      <c r="D398" s="4">
        <v>129.6</v>
      </c>
    </row>
    <row r="399">
      <c r="A399" s="3" t="s">
        <v>388</v>
      </c>
      <c r="B399" s="3">
        <v>12.0</v>
      </c>
      <c r="C399" s="4">
        <v>1.89</v>
      </c>
      <c r="D399" s="4">
        <v>123.9</v>
      </c>
    </row>
    <row r="400">
      <c r="A400" s="3" t="s">
        <v>389</v>
      </c>
      <c r="B400" s="3">
        <v>5.0</v>
      </c>
      <c r="C400" s="4">
        <v>8.39</v>
      </c>
      <c r="D400" s="4">
        <v>110.0</v>
      </c>
    </row>
    <row r="401">
      <c r="A401" s="3" t="s">
        <v>390</v>
      </c>
      <c r="B401" s="3">
        <v>10.0</v>
      </c>
      <c r="C401" s="4">
        <v>3.51</v>
      </c>
      <c r="D401" s="4">
        <v>89.6</v>
      </c>
    </row>
    <row r="402">
      <c r="A402" s="3" t="s">
        <v>391</v>
      </c>
      <c r="B402" s="3">
        <v>6.0</v>
      </c>
      <c r="C402" s="4">
        <v>27.86</v>
      </c>
      <c r="D402" s="4">
        <v>96.3</v>
      </c>
    </row>
    <row r="403">
      <c r="A403" s="3" t="s">
        <v>392</v>
      </c>
      <c r="B403" s="3">
        <v>1.0</v>
      </c>
      <c r="C403" s="4">
        <v>17.08</v>
      </c>
      <c r="D403" s="4">
        <v>123.1</v>
      </c>
    </row>
    <row r="404">
      <c r="A404" s="3" t="s">
        <v>393</v>
      </c>
      <c r="B404" s="3">
        <v>6.0</v>
      </c>
      <c r="C404" s="4">
        <v>41.08</v>
      </c>
      <c r="D404" s="4">
        <v>86.6</v>
      </c>
    </row>
    <row r="405">
      <c r="A405" s="3" t="s">
        <v>394</v>
      </c>
      <c r="B405" s="3">
        <v>2.0</v>
      </c>
      <c r="C405" s="4">
        <v>3.01</v>
      </c>
      <c r="D405" s="4">
        <v>173.1</v>
      </c>
    </row>
    <row r="406">
      <c r="A406" s="3" t="s">
        <v>395</v>
      </c>
      <c r="B406" s="3">
        <v>4.0</v>
      </c>
      <c r="C406" s="4">
        <v>34.97</v>
      </c>
      <c r="D406" s="4">
        <v>40.8</v>
      </c>
    </row>
    <row r="407">
      <c r="A407" s="3" t="s">
        <v>396</v>
      </c>
      <c r="B407" s="3">
        <v>5.0</v>
      </c>
      <c r="C407" s="4">
        <v>5.64</v>
      </c>
      <c r="D407" s="4">
        <v>110.3</v>
      </c>
    </row>
    <row r="408">
      <c r="A408" s="3" t="s">
        <v>397</v>
      </c>
      <c r="B408" s="3">
        <v>8.0</v>
      </c>
      <c r="C408" s="4">
        <v>4.27</v>
      </c>
      <c r="D408" s="4">
        <v>123.3</v>
      </c>
    </row>
    <row r="409">
      <c r="A409" s="5">
        <v>4.0179E33</v>
      </c>
      <c r="B409" s="3">
        <v>4.0</v>
      </c>
      <c r="C409" s="4">
        <v>0.52</v>
      </c>
      <c r="D409" s="4">
        <v>135.2</v>
      </c>
    </row>
    <row r="410">
      <c r="A410" s="3" t="s">
        <v>398</v>
      </c>
      <c r="B410" s="3">
        <v>2.0</v>
      </c>
      <c r="C410" s="4">
        <v>0.54</v>
      </c>
      <c r="D410" s="4">
        <v>92.5</v>
      </c>
    </row>
    <row r="411">
      <c r="A411" s="3" t="s">
        <v>399</v>
      </c>
      <c r="B411" s="3">
        <v>1.0</v>
      </c>
      <c r="C411" s="4">
        <v>11.78</v>
      </c>
      <c r="D411" s="4">
        <v>154.0</v>
      </c>
    </row>
    <row r="412">
      <c r="A412" s="3" t="s">
        <v>400</v>
      </c>
      <c r="B412" s="3">
        <v>8.0</v>
      </c>
      <c r="C412" s="4">
        <v>6.12</v>
      </c>
      <c r="D412" s="4">
        <v>78.2</v>
      </c>
    </row>
    <row r="413">
      <c r="A413" s="3" t="s">
        <v>401</v>
      </c>
      <c r="B413" s="3">
        <v>8.0</v>
      </c>
      <c r="C413" s="4">
        <v>2.57</v>
      </c>
      <c r="D413" s="4">
        <v>103.0</v>
      </c>
    </row>
    <row r="414">
      <c r="A414" s="3" t="s">
        <v>402</v>
      </c>
      <c r="B414" s="3">
        <v>4.0</v>
      </c>
      <c r="C414" s="4">
        <v>9.52</v>
      </c>
      <c r="D414" s="4">
        <v>138.6</v>
      </c>
    </row>
    <row r="415">
      <c r="A415" s="3" t="s">
        <v>403</v>
      </c>
      <c r="B415" s="3">
        <v>1.0</v>
      </c>
      <c r="C415" s="4">
        <v>2.92</v>
      </c>
      <c r="D415" s="4">
        <v>151.2</v>
      </c>
    </row>
    <row r="416">
      <c r="A416" s="3" t="s">
        <v>404</v>
      </c>
      <c r="B416" s="3">
        <v>9.0</v>
      </c>
      <c r="C416" s="4">
        <v>8.62</v>
      </c>
      <c r="D416" s="4">
        <v>77.9</v>
      </c>
    </row>
    <row r="417">
      <c r="A417" s="3" t="s">
        <v>405</v>
      </c>
      <c r="B417" s="3">
        <v>4.0</v>
      </c>
      <c r="C417" s="4">
        <v>4.45</v>
      </c>
      <c r="D417" s="4">
        <v>199.4</v>
      </c>
    </row>
    <row r="418">
      <c r="A418" s="3" t="s">
        <v>406</v>
      </c>
      <c r="B418" s="3">
        <v>2.0</v>
      </c>
      <c r="C418" s="4">
        <v>17.35</v>
      </c>
      <c r="D418" s="4">
        <v>93.1</v>
      </c>
    </row>
    <row r="419">
      <c r="A419" s="3" t="s">
        <v>407</v>
      </c>
      <c r="B419" s="3">
        <v>4.0</v>
      </c>
      <c r="C419" s="4">
        <v>17.19</v>
      </c>
      <c r="D419" s="4">
        <v>80.6</v>
      </c>
    </row>
    <row r="420">
      <c r="A420" s="3" t="s">
        <v>408</v>
      </c>
      <c r="B420" s="3">
        <v>3.0</v>
      </c>
      <c r="C420" s="4">
        <v>6.49</v>
      </c>
      <c r="D420" s="4">
        <v>135.1</v>
      </c>
    </row>
    <row r="421">
      <c r="A421" s="3" t="s">
        <v>409</v>
      </c>
      <c r="B421" s="3">
        <v>8.0</v>
      </c>
      <c r="C421" s="4">
        <v>4.32</v>
      </c>
      <c r="D421" s="4">
        <v>109.6</v>
      </c>
    </row>
    <row r="422">
      <c r="A422" s="3" t="s">
        <v>410</v>
      </c>
      <c r="B422" s="3">
        <v>9.0</v>
      </c>
      <c r="C422" s="4">
        <v>4.5</v>
      </c>
      <c r="D422" s="4">
        <v>105.1</v>
      </c>
    </row>
    <row r="423">
      <c r="A423" s="3" t="s">
        <v>411</v>
      </c>
      <c r="B423" s="3">
        <v>4.0</v>
      </c>
      <c r="C423" s="4">
        <v>16.38</v>
      </c>
      <c r="D423" s="4">
        <v>137.9</v>
      </c>
    </row>
    <row r="424">
      <c r="A424" s="3" t="s">
        <v>412</v>
      </c>
      <c r="B424" s="3">
        <v>4.0</v>
      </c>
      <c r="C424" s="4">
        <v>3.98</v>
      </c>
      <c r="D424" s="4">
        <v>74.2</v>
      </c>
    </row>
    <row r="425">
      <c r="A425" s="3" t="s">
        <v>413</v>
      </c>
      <c r="B425" s="3">
        <v>5.0</v>
      </c>
      <c r="C425" s="4">
        <v>2.35</v>
      </c>
      <c r="D425" s="4">
        <v>68.9</v>
      </c>
    </row>
    <row r="426">
      <c r="A426" s="3" t="s">
        <v>414</v>
      </c>
      <c r="B426" s="3">
        <v>11.0</v>
      </c>
      <c r="C426" s="4">
        <v>0.88</v>
      </c>
      <c r="D426" s="4">
        <v>102.1</v>
      </c>
    </row>
    <row r="427">
      <c r="A427" s="3" t="s">
        <v>415</v>
      </c>
      <c r="B427" s="3">
        <v>8.0</v>
      </c>
      <c r="C427" s="4">
        <v>6.29</v>
      </c>
      <c r="D427" s="4">
        <v>152.3</v>
      </c>
    </row>
    <row r="428">
      <c r="A428" s="3" t="s">
        <v>416</v>
      </c>
      <c r="B428" s="3">
        <v>6.0</v>
      </c>
      <c r="C428" s="4">
        <v>6.58</v>
      </c>
      <c r="D428" s="4">
        <v>103.4</v>
      </c>
    </row>
    <row r="429">
      <c r="A429" s="3" t="s">
        <v>417</v>
      </c>
      <c r="B429" s="3">
        <v>2.0</v>
      </c>
      <c r="C429" s="4">
        <v>18.38</v>
      </c>
      <c r="D429" s="4">
        <v>168.0</v>
      </c>
    </row>
    <row r="430">
      <c r="A430" s="3" t="s">
        <v>418</v>
      </c>
      <c r="B430" s="3">
        <v>8.0</v>
      </c>
      <c r="C430" s="4">
        <v>2.5</v>
      </c>
      <c r="D430" s="4">
        <v>156.0</v>
      </c>
    </row>
    <row r="431">
      <c r="A431" s="3" t="s">
        <v>419</v>
      </c>
      <c r="B431" s="3">
        <v>7.0</v>
      </c>
      <c r="C431" s="4">
        <v>4.8</v>
      </c>
      <c r="D431" s="4">
        <v>128.5</v>
      </c>
    </row>
    <row r="432">
      <c r="A432" s="3" t="s">
        <v>420</v>
      </c>
      <c r="B432" s="3">
        <v>6.0</v>
      </c>
      <c r="C432" s="4">
        <v>16.52</v>
      </c>
      <c r="D432" s="4">
        <v>130.2</v>
      </c>
    </row>
    <row r="433">
      <c r="A433" s="3" t="s">
        <v>421</v>
      </c>
      <c r="B433" s="3">
        <v>5.0</v>
      </c>
      <c r="C433" s="4">
        <v>17.35</v>
      </c>
      <c r="D433" s="4">
        <v>128.5</v>
      </c>
    </row>
    <row r="434">
      <c r="A434" s="3" t="s">
        <v>422</v>
      </c>
      <c r="B434" s="3">
        <v>3.0</v>
      </c>
      <c r="C434" s="4">
        <v>4.86</v>
      </c>
      <c r="D434" s="4">
        <v>124.8</v>
      </c>
    </row>
    <row r="435">
      <c r="A435" s="3" t="s">
        <v>423</v>
      </c>
      <c r="B435" s="3">
        <v>5.0</v>
      </c>
      <c r="C435" s="4">
        <v>6.15</v>
      </c>
      <c r="D435" s="4">
        <v>109.0</v>
      </c>
    </row>
    <row r="436">
      <c r="A436" s="3" t="s">
        <v>424</v>
      </c>
      <c r="B436" s="3">
        <v>3.0</v>
      </c>
      <c r="C436" s="4">
        <v>3.61</v>
      </c>
      <c r="D436" s="4">
        <v>112.5</v>
      </c>
    </row>
    <row r="437">
      <c r="A437" s="3">
        <v>8.3686047E7</v>
      </c>
      <c r="B437" s="3">
        <v>3.0</v>
      </c>
      <c r="C437" s="4">
        <v>26.96</v>
      </c>
      <c r="D437" s="4">
        <v>87.9</v>
      </c>
    </row>
    <row r="438">
      <c r="A438" s="3" t="s">
        <v>425</v>
      </c>
      <c r="B438" s="3">
        <v>7.0</v>
      </c>
      <c r="C438" s="4">
        <v>1.26</v>
      </c>
      <c r="D438" s="4">
        <v>53.7</v>
      </c>
    </row>
    <row r="439">
      <c r="A439" s="3" t="s">
        <v>426</v>
      </c>
      <c r="B439" s="3">
        <v>4.0</v>
      </c>
      <c r="C439" s="4">
        <v>27.14</v>
      </c>
      <c r="D439" s="4">
        <v>153.1</v>
      </c>
    </row>
    <row r="440">
      <c r="A440" s="3" t="s">
        <v>427</v>
      </c>
      <c r="B440" s="3">
        <v>4.0</v>
      </c>
      <c r="C440" s="4">
        <v>11.52</v>
      </c>
      <c r="D440" s="4">
        <v>124.7</v>
      </c>
    </row>
    <row r="441">
      <c r="A441" s="3">
        <v>7251235.0</v>
      </c>
      <c r="B441" s="3">
        <v>6.0</v>
      </c>
      <c r="C441" s="4">
        <v>7.58</v>
      </c>
      <c r="D441" s="4">
        <v>120.2</v>
      </c>
    </row>
    <row r="442">
      <c r="A442" s="3" t="s">
        <v>428</v>
      </c>
      <c r="B442" s="3">
        <v>6.0</v>
      </c>
      <c r="C442" s="4">
        <v>0.33</v>
      </c>
      <c r="D442" s="4">
        <v>132.0</v>
      </c>
    </row>
    <row r="443">
      <c r="A443" s="3" t="s">
        <v>429</v>
      </c>
      <c r="B443" s="3">
        <v>3.0</v>
      </c>
      <c r="C443" s="4">
        <v>6.45</v>
      </c>
      <c r="D443" s="4">
        <v>95.1</v>
      </c>
    </row>
    <row r="444">
      <c r="A444" s="3" t="s">
        <v>430</v>
      </c>
      <c r="B444" s="3">
        <v>4.0</v>
      </c>
      <c r="C444" s="4">
        <v>5.24</v>
      </c>
      <c r="D444" s="4">
        <v>90.0</v>
      </c>
    </row>
    <row r="445">
      <c r="A445" s="3">
        <v>2.0715541E7</v>
      </c>
      <c r="B445" s="3">
        <v>6.0</v>
      </c>
      <c r="C445" s="4">
        <v>1.76</v>
      </c>
      <c r="D445" s="4">
        <v>111.5</v>
      </c>
    </row>
    <row r="446">
      <c r="A446" s="3" t="s">
        <v>431</v>
      </c>
      <c r="B446" s="3">
        <v>6.0</v>
      </c>
      <c r="C446" s="4">
        <v>10.68</v>
      </c>
      <c r="D446" s="4">
        <v>161.0</v>
      </c>
    </row>
    <row r="447">
      <c r="A447" s="3" t="s">
        <v>432</v>
      </c>
      <c r="B447" s="3">
        <v>6.0</v>
      </c>
      <c r="C447" s="4">
        <v>35.46</v>
      </c>
      <c r="D447" s="4">
        <v>84.9</v>
      </c>
    </row>
    <row r="448">
      <c r="A448" s="3" t="s">
        <v>433</v>
      </c>
      <c r="B448" s="3">
        <v>6.0</v>
      </c>
      <c r="C448" s="4">
        <v>8.26</v>
      </c>
      <c r="D448" s="4">
        <v>41.2</v>
      </c>
    </row>
    <row r="449">
      <c r="A449" s="3" t="s">
        <v>434</v>
      </c>
      <c r="B449" s="3">
        <v>3.0</v>
      </c>
      <c r="C449" s="4">
        <v>12.54</v>
      </c>
      <c r="D449" s="4">
        <v>104.4</v>
      </c>
    </row>
    <row r="450">
      <c r="A450" s="3" t="s">
        <v>435</v>
      </c>
      <c r="B450" s="3">
        <v>5.0</v>
      </c>
      <c r="C450" s="4">
        <v>0.71</v>
      </c>
      <c r="D450" s="4">
        <v>154.3</v>
      </c>
    </row>
    <row r="451">
      <c r="A451" s="3" t="s">
        <v>436</v>
      </c>
      <c r="B451" s="3">
        <v>2.0</v>
      </c>
      <c r="C451" s="4">
        <v>5.41</v>
      </c>
      <c r="D451" s="4">
        <v>68.0</v>
      </c>
    </row>
    <row r="452">
      <c r="A452" s="3" t="s">
        <v>437</v>
      </c>
      <c r="B452" s="3">
        <v>5.0</v>
      </c>
      <c r="C452" s="4">
        <v>1.24</v>
      </c>
      <c r="D452" s="4">
        <v>84.6</v>
      </c>
    </row>
    <row r="453">
      <c r="A453" s="3" t="s">
        <v>438</v>
      </c>
      <c r="B453" s="3">
        <v>3.0</v>
      </c>
      <c r="C453" s="4">
        <v>9.49</v>
      </c>
      <c r="D453" s="4">
        <v>127.9</v>
      </c>
    </row>
    <row r="454">
      <c r="A454" s="3" t="s">
        <v>439</v>
      </c>
      <c r="B454" s="3">
        <v>3.0</v>
      </c>
      <c r="C454" s="4">
        <v>27.88</v>
      </c>
      <c r="D454" s="4">
        <v>197.1</v>
      </c>
    </row>
    <row r="455">
      <c r="A455" s="3" t="s">
        <v>440</v>
      </c>
      <c r="B455" s="3">
        <v>5.0</v>
      </c>
      <c r="C455" s="4">
        <v>10.84</v>
      </c>
      <c r="D455" s="4">
        <v>79.3</v>
      </c>
    </row>
    <row r="456">
      <c r="A456" s="3" t="s">
        <v>441</v>
      </c>
      <c r="B456" s="3">
        <v>11.0</v>
      </c>
      <c r="C456" s="4">
        <v>0.8</v>
      </c>
      <c r="D456" s="4">
        <v>78.1</v>
      </c>
    </row>
    <row r="457">
      <c r="A457" s="3" t="s">
        <v>442</v>
      </c>
      <c r="B457" s="3">
        <v>7.0</v>
      </c>
      <c r="C457" s="4">
        <v>4.38</v>
      </c>
      <c r="D457" s="4">
        <v>130.2</v>
      </c>
    </row>
    <row r="458">
      <c r="A458" s="3" t="s">
        <v>443</v>
      </c>
      <c r="B458" s="3">
        <v>7.0</v>
      </c>
      <c r="C458" s="4">
        <v>8.0</v>
      </c>
      <c r="D458" s="4">
        <v>156.1</v>
      </c>
    </row>
    <row r="459">
      <c r="A459" s="3" t="s">
        <v>444</v>
      </c>
      <c r="B459" s="3">
        <v>4.0</v>
      </c>
      <c r="C459" s="4">
        <v>5.16</v>
      </c>
      <c r="D459" s="4">
        <v>101.3</v>
      </c>
    </row>
    <row r="460">
      <c r="A460" s="3" t="s">
        <v>445</v>
      </c>
      <c r="B460" s="3">
        <v>1.0</v>
      </c>
      <c r="C460" s="4">
        <v>17.94</v>
      </c>
      <c r="D460" s="4">
        <v>71.4</v>
      </c>
    </row>
    <row r="461">
      <c r="A461" s="3" t="s">
        <v>446</v>
      </c>
      <c r="B461" s="3">
        <v>4.0</v>
      </c>
      <c r="C461" s="4">
        <v>16.86</v>
      </c>
      <c r="D461" s="4">
        <v>133.0</v>
      </c>
    </row>
    <row r="462">
      <c r="A462" s="3" t="s">
        <v>447</v>
      </c>
      <c r="B462" s="3">
        <v>5.0</v>
      </c>
      <c r="C462" s="4">
        <v>9.46</v>
      </c>
      <c r="D462" s="4">
        <v>138.4</v>
      </c>
    </row>
    <row r="463">
      <c r="A463" s="3" t="s">
        <v>448</v>
      </c>
      <c r="B463" s="3">
        <v>4.0</v>
      </c>
      <c r="C463" s="4">
        <v>4.68</v>
      </c>
      <c r="D463" s="4">
        <v>173.4</v>
      </c>
    </row>
    <row r="464">
      <c r="A464" s="3" t="s">
        <v>449</v>
      </c>
      <c r="B464" s="3">
        <v>4.0</v>
      </c>
      <c r="C464" s="4">
        <v>2.95</v>
      </c>
      <c r="D464" s="4">
        <v>139.7</v>
      </c>
    </row>
    <row r="465">
      <c r="A465" s="3" t="s">
        <v>450</v>
      </c>
      <c r="B465" s="3">
        <v>7.0</v>
      </c>
      <c r="C465" s="4">
        <v>1.12</v>
      </c>
      <c r="D465" s="4">
        <v>144.8</v>
      </c>
    </row>
    <row r="466">
      <c r="A466" s="3" t="s">
        <v>451</v>
      </c>
      <c r="B466" s="3">
        <v>6.0</v>
      </c>
      <c r="C466" s="4">
        <v>4.38</v>
      </c>
      <c r="D466" s="4">
        <v>112.1</v>
      </c>
    </row>
    <row r="467">
      <c r="A467" s="3" t="s">
        <v>452</v>
      </c>
      <c r="B467" s="3">
        <v>8.0</v>
      </c>
      <c r="C467" s="4">
        <v>5.33</v>
      </c>
      <c r="D467" s="4">
        <v>193.2</v>
      </c>
    </row>
    <row r="468">
      <c r="A468" s="3" t="s">
        <v>453</v>
      </c>
      <c r="B468" s="3">
        <v>4.0</v>
      </c>
      <c r="C468" s="4">
        <v>11.26</v>
      </c>
      <c r="D468" s="4">
        <v>108.1</v>
      </c>
    </row>
    <row r="469">
      <c r="A469" s="3" t="s">
        <v>454</v>
      </c>
      <c r="B469" s="3">
        <v>3.0</v>
      </c>
      <c r="C469" s="4">
        <v>10.73</v>
      </c>
      <c r="D469" s="4">
        <v>101.6</v>
      </c>
    </row>
    <row r="470">
      <c r="A470" s="3" t="s">
        <v>455</v>
      </c>
      <c r="B470" s="3">
        <v>0.0</v>
      </c>
      <c r="C470" s="4">
        <v>0.73</v>
      </c>
      <c r="D470" s="4">
        <v>174.3</v>
      </c>
    </row>
    <row r="471">
      <c r="A471" s="3" t="s">
        <v>456</v>
      </c>
      <c r="B471" s="3">
        <v>4.0</v>
      </c>
      <c r="C471" s="4">
        <v>5.03</v>
      </c>
      <c r="D471" s="4">
        <v>75.8</v>
      </c>
    </row>
    <row r="472">
      <c r="A472" s="3" t="s">
        <v>457</v>
      </c>
      <c r="B472" s="3">
        <v>1.0</v>
      </c>
      <c r="C472" s="4">
        <v>2.01</v>
      </c>
      <c r="D472" s="4">
        <v>64.6</v>
      </c>
    </row>
    <row r="473">
      <c r="A473" s="3" t="s">
        <v>458</v>
      </c>
      <c r="B473" s="3">
        <v>4.0</v>
      </c>
      <c r="C473" s="4">
        <v>1.71</v>
      </c>
      <c r="D473" s="4">
        <v>123.6</v>
      </c>
    </row>
    <row r="474">
      <c r="A474" s="3" t="s">
        <v>459</v>
      </c>
      <c r="B474" s="3">
        <v>3.0</v>
      </c>
      <c r="C474" s="4">
        <v>17.56</v>
      </c>
      <c r="D474" s="4">
        <v>119.9</v>
      </c>
    </row>
    <row r="475">
      <c r="A475" s="3" t="s">
        <v>460</v>
      </c>
      <c r="B475" s="3">
        <v>5.0</v>
      </c>
      <c r="C475" s="4">
        <v>0.43</v>
      </c>
      <c r="D475" s="4">
        <v>113.2</v>
      </c>
    </row>
    <row r="476">
      <c r="A476" s="3" t="s">
        <v>461</v>
      </c>
      <c r="B476" s="3">
        <v>6.0</v>
      </c>
      <c r="C476" s="4">
        <v>5.43</v>
      </c>
      <c r="D476" s="4">
        <v>149.8</v>
      </c>
    </row>
    <row r="477">
      <c r="A477" s="3" t="s">
        <v>462</v>
      </c>
      <c r="B477" s="3">
        <v>6.0</v>
      </c>
      <c r="C477" s="4">
        <v>1.84</v>
      </c>
      <c r="D477" s="4">
        <v>92.8</v>
      </c>
    </row>
    <row r="478">
      <c r="A478" s="3" t="s">
        <v>463</v>
      </c>
      <c r="B478" s="3">
        <v>4.0</v>
      </c>
      <c r="C478" s="4">
        <v>21.15</v>
      </c>
      <c r="D478" s="4">
        <v>121.9</v>
      </c>
    </row>
    <row r="479">
      <c r="A479" s="3" t="s">
        <v>464</v>
      </c>
      <c r="B479" s="3">
        <v>4.0</v>
      </c>
      <c r="C479" s="4">
        <v>8.14</v>
      </c>
      <c r="D479" s="4">
        <v>109.2</v>
      </c>
    </row>
    <row r="480">
      <c r="A480" s="3" t="s">
        <v>465</v>
      </c>
      <c r="B480" s="3">
        <v>5.0</v>
      </c>
      <c r="C480" s="4">
        <v>2.63</v>
      </c>
      <c r="D480" s="4">
        <v>93.3</v>
      </c>
    </row>
    <row r="481">
      <c r="A481" s="3" t="s">
        <v>466</v>
      </c>
      <c r="B481" s="3">
        <v>1.0</v>
      </c>
      <c r="C481" s="4">
        <v>6.98</v>
      </c>
      <c r="D481" s="4">
        <v>118.1</v>
      </c>
    </row>
    <row r="482">
      <c r="A482" s="3" t="s">
        <v>467</v>
      </c>
      <c r="B482" s="3">
        <v>9.0</v>
      </c>
      <c r="C482" s="4">
        <v>13.15</v>
      </c>
      <c r="D482" s="4">
        <v>145.6</v>
      </c>
    </row>
    <row r="483">
      <c r="A483" s="3" t="s">
        <v>468</v>
      </c>
      <c r="B483" s="3">
        <v>7.0</v>
      </c>
      <c r="C483" s="4">
        <v>31.73</v>
      </c>
      <c r="D483" s="4">
        <v>183.6</v>
      </c>
    </row>
    <row r="484">
      <c r="A484" s="3" t="s">
        <v>469</v>
      </c>
      <c r="B484" s="3">
        <v>5.0</v>
      </c>
      <c r="C484" s="4">
        <v>2.49</v>
      </c>
      <c r="D484" s="4">
        <v>137.4</v>
      </c>
    </row>
    <row r="485">
      <c r="A485" s="3" t="s">
        <v>470</v>
      </c>
      <c r="B485" s="3">
        <v>4.0</v>
      </c>
      <c r="C485" s="4">
        <v>21.73</v>
      </c>
      <c r="D485" s="4">
        <v>44.7</v>
      </c>
    </row>
    <row r="486">
      <c r="A486" s="3" t="s">
        <v>471</v>
      </c>
      <c r="B486" s="3">
        <v>5.0</v>
      </c>
      <c r="C486" s="4">
        <v>27.23</v>
      </c>
      <c r="D486" s="4">
        <v>118.9</v>
      </c>
    </row>
    <row r="487">
      <c r="A487" s="3" t="s">
        <v>472</v>
      </c>
      <c r="B487" s="3">
        <v>4.0</v>
      </c>
      <c r="C487" s="4">
        <v>24.82</v>
      </c>
      <c r="D487" s="4">
        <v>121.5</v>
      </c>
    </row>
    <row r="488">
      <c r="A488" s="3" t="s">
        <v>473</v>
      </c>
      <c r="B488" s="3">
        <v>1.0</v>
      </c>
      <c r="C488" s="4">
        <v>10.09</v>
      </c>
      <c r="D488" s="4">
        <v>148.1</v>
      </c>
    </row>
    <row r="489">
      <c r="A489" s="3" t="s">
        <v>474</v>
      </c>
      <c r="B489" s="3">
        <v>3.0</v>
      </c>
      <c r="C489" s="4">
        <v>9.94</v>
      </c>
      <c r="D489" s="4">
        <v>125.5</v>
      </c>
    </row>
    <row r="490">
      <c r="A490" s="3" t="s">
        <v>475</v>
      </c>
      <c r="B490" s="3">
        <v>7.0</v>
      </c>
      <c r="C490" s="4">
        <v>5.16</v>
      </c>
      <c r="D490" s="4">
        <v>157.6</v>
      </c>
    </row>
    <row r="491">
      <c r="A491" s="3" t="s">
        <v>476</v>
      </c>
      <c r="B491" s="3">
        <v>6.0</v>
      </c>
      <c r="C491" s="4">
        <v>13.96</v>
      </c>
      <c r="D491" s="4">
        <v>131.8</v>
      </c>
    </row>
    <row r="492">
      <c r="A492" s="3">
        <v>3.5000267E7</v>
      </c>
      <c r="B492" s="3">
        <v>10.0</v>
      </c>
      <c r="C492" s="4">
        <v>7.58</v>
      </c>
      <c r="D492" s="4">
        <v>166.8</v>
      </c>
    </row>
    <row r="493">
      <c r="A493" s="3" t="s">
        <v>477</v>
      </c>
      <c r="B493" s="3">
        <v>4.0</v>
      </c>
      <c r="C493" s="4">
        <v>11.31</v>
      </c>
      <c r="D493" s="4">
        <v>106.8</v>
      </c>
    </row>
    <row r="494">
      <c r="A494" s="3" t="s">
        <v>478</v>
      </c>
      <c r="B494" s="3">
        <v>5.0</v>
      </c>
      <c r="C494" s="4">
        <v>5.59</v>
      </c>
      <c r="D494" s="4">
        <v>124.3</v>
      </c>
    </row>
    <row r="495">
      <c r="A495" s="3" t="s">
        <v>479</v>
      </c>
      <c r="B495" s="3">
        <v>6.0</v>
      </c>
      <c r="C495" s="4">
        <v>13.15</v>
      </c>
      <c r="D495" s="4">
        <v>144.8</v>
      </c>
    </row>
    <row r="496">
      <c r="A496" s="3" t="s">
        <v>480</v>
      </c>
      <c r="B496" s="3">
        <v>6.0</v>
      </c>
      <c r="C496" s="4">
        <v>17.4</v>
      </c>
      <c r="D496" s="4">
        <v>102.8</v>
      </c>
    </row>
    <row r="497">
      <c r="A497" s="3" t="s">
        <v>481</v>
      </c>
      <c r="B497" s="3">
        <v>8.0</v>
      </c>
      <c r="C497" s="4">
        <v>1.58</v>
      </c>
      <c r="D497" s="4">
        <v>96.3</v>
      </c>
    </row>
    <row r="498">
      <c r="A498" s="3" t="s">
        <v>482</v>
      </c>
      <c r="B498" s="3">
        <v>4.0</v>
      </c>
      <c r="C498" s="4">
        <v>17.89</v>
      </c>
      <c r="D498" s="4">
        <v>101.1</v>
      </c>
    </row>
    <row r="499">
      <c r="A499" s="3" t="s">
        <v>483</v>
      </c>
      <c r="B499" s="3">
        <v>3.0</v>
      </c>
      <c r="C499" s="4">
        <v>7.77</v>
      </c>
      <c r="D499" s="4">
        <v>97.5</v>
      </c>
    </row>
    <row r="500">
      <c r="A500" s="3" t="s">
        <v>484</v>
      </c>
      <c r="B500" s="3">
        <v>3.0</v>
      </c>
      <c r="C500" s="4">
        <v>18.62</v>
      </c>
      <c r="D500" s="4">
        <v>135.7</v>
      </c>
    </row>
    <row r="501">
      <c r="A501" s="3" t="s">
        <v>485</v>
      </c>
      <c r="B501" s="3">
        <v>9.0</v>
      </c>
      <c r="C501" s="4">
        <v>5.64</v>
      </c>
      <c r="D501" s="4">
        <v>65.0</v>
      </c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  <row r="998">
      <c r="C998" s="6"/>
      <c r="D998" s="6"/>
    </row>
    <row r="999">
      <c r="C999" s="6"/>
      <c r="D999" s="6"/>
    </row>
    <row r="1000">
      <c r="C1000" s="6"/>
      <c r="D1000" s="6"/>
    </row>
  </sheetData>
  <autoFilter ref="$A$1:$D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25"/>
    <col customWidth="1" min="4" max="4" width="19.5"/>
    <col customWidth="1" min="5" max="5" width="16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486</v>
      </c>
    </row>
    <row r="2">
      <c r="A2" s="3" t="s">
        <v>4</v>
      </c>
      <c r="B2" s="3">
        <v>8.0</v>
      </c>
      <c r="C2" s="4">
        <v>1.0</v>
      </c>
      <c r="D2" s="4">
        <v>142.0</v>
      </c>
      <c r="E2" s="7" t="str">
        <f>if(C2&gt;statistics_analysis!$C$15,"high outlier",if(C2&lt;statistics_analysis!$C$14,"low outlier","normal"))</f>
        <v>normal</v>
      </c>
    </row>
    <row r="3">
      <c r="A3" s="3" t="s">
        <v>5</v>
      </c>
      <c r="B3" s="3">
        <v>4.0</v>
      </c>
      <c r="C3" s="4">
        <v>68.06</v>
      </c>
      <c r="D3" s="4">
        <v>113.6</v>
      </c>
      <c r="E3" s="7" t="str">
        <f>if(C3&gt;statistics_analysis!$C$15,"high outlier",if(C3&lt;statistics_analysis!$C$14,"low outlier","normal"))</f>
        <v>high outlier</v>
      </c>
    </row>
    <row r="4">
      <c r="A4" s="3" t="s">
        <v>6</v>
      </c>
      <c r="B4" s="3">
        <v>2.0</v>
      </c>
      <c r="C4" s="4">
        <v>3.95</v>
      </c>
      <c r="D4" s="4">
        <v>139.6</v>
      </c>
      <c r="E4" s="7" t="str">
        <f>if(C4&gt;statistics_analysis!$C$15,"high outlier",if(C4&lt;statistics_analysis!$C$14,"low outlier","normal"))</f>
        <v>normal</v>
      </c>
    </row>
    <row r="5">
      <c r="A5" s="3" t="s">
        <v>7</v>
      </c>
      <c r="B5" s="3">
        <v>3.0</v>
      </c>
      <c r="C5" s="4">
        <v>13.79</v>
      </c>
      <c r="D5" s="4">
        <v>105.8</v>
      </c>
      <c r="E5" s="7" t="str">
        <f>if(C5&gt;statistics_analysis!$C$15,"high outlier",if(C5&lt;statistics_analysis!$C$14,"low outlier","normal"))</f>
        <v>normal</v>
      </c>
    </row>
    <row r="6">
      <c r="A6" s="3" t="s">
        <v>8</v>
      </c>
      <c r="B6" s="3">
        <v>4.0</v>
      </c>
      <c r="C6" s="4">
        <v>16.43</v>
      </c>
      <c r="D6" s="4">
        <v>190.5</v>
      </c>
      <c r="E6" s="7" t="str">
        <f>if(C6&gt;statistics_analysis!$C$15,"high outlier",if(C6&lt;statistics_analysis!$C$14,"low outlier","normal"))</f>
        <v>normal</v>
      </c>
    </row>
    <row r="7">
      <c r="A7" s="3" t="s">
        <v>9</v>
      </c>
      <c r="B7" s="3">
        <v>7.0</v>
      </c>
      <c r="C7" s="4">
        <v>19.52</v>
      </c>
      <c r="D7" s="4">
        <v>40.1</v>
      </c>
      <c r="E7" s="7" t="str">
        <f>if(C7&gt;statistics_analysis!$C$15,"high outlier",if(C7&lt;statistics_analysis!$C$14,"low outlier","normal"))</f>
        <v>normal</v>
      </c>
    </row>
    <row r="8">
      <c r="A8" s="3" t="s">
        <v>10</v>
      </c>
      <c r="B8" s="3">
        <v>4.0</v>
      </c>
      <c r="C8" s="4">
        <v>60.44</v>
      </c>
      <c r="D8" s="4">
        <v>140.2</v>
      </c>
      <c r="E8" s="7" t="str">
        <f>if(C8&gt;statistics_analysis!$C$15,"high outlier",if(C8&lt;statistics_analysis!$C$14,"low outlier","normal"))</f>
        <v>high outlier</v>
      </c>
    </row>
    <row r="9">
      <c r="A9" s="3" t="s">
        <v>11</v>
      </c>
      <c r="B9" s="3">
        <v>3.0</v>
      </c>
      <c r="C9" s="4">
        <v>2.76</v>
      </c>
      <c r="D9" s="4">
        <v>67.1</v>
      </c>
      <c r="E9" s="7" t="str">
        <f>if(C9&gt;statistics_analysis!$C$15,"high outlier",if(C9&lt;statistics_analysis!$C$14,"low outlier","normal"))</f>
        <v>normal</v>
      </c>
    </row>
    <row r="10">
      <c r="A10" s="3" t="s">
        <v>12</v>
      </c>
      <c r="B10" s="3">
        <v>2.0</v>
      </c>
      <c r="C10" s="4">
        <v>0.41</v>
      </c>
      <c r="D10" s="4">
        <v>113.2</v>
      </c>
      <c r="E10" s="7" t="str">
        <f>if(C10&gt;statistics_analysis!$C$15,"high outlier",if(C10&lt;statistics_analysis!$C$14,"low outlier","normal"))</f>
        <v>normal</v>
      </c>
    </row>
    <row r="11">
      <c r="A11" s="3" t="s">
        <v>13</v>
      </c>
      <c r="B11" s="3">
        <v>6.0</v>
      </c>
      <c r="C11" s="4">
        <v>5.3</v>
      </c>
      <c r="D11" s="4">
        <v>117.4</v>
      </c>
      <c r="E11" s="7" t="str">
        <f>if(C11&gt;statistics_analysis!$C$15,"high outlier",if(C11&lt;statistics_analysis!$C$14,"low outlier","normal"))</f>
        <v>normal</v>
      </c>
    </row>
    <row r="12">
      <c r="A12" s="3" t="s">
        <v>14</v>
      </c>
      <c r="B12" s="3">
        <v>3.0</v>
      </c>
      <c r="C12" s="4">
        <v>1.39</v>
      </c>
      <c r="D12" s="4">
        <v>165.2</v>
      </c>
      <c r="E12" s="7" t="str">
        <f>if(C12&gt;statistics_analysis!$C$15,"high outlier",if(C12&lt;statistics_analysis!$C$14,"low outlier","normal"))</f>
        <v>normal</v>
      </c>
    </row>
    <row r="13">
      <c r="A13" s="3" t="s">
        <v>15</v>
      </c>
      <c r="B13" s="3">
        <v>5.0</v>
      </c>
      <c r="C13" s="4">
        <v>0.23</v>
      </c>
      <c r="D13" s="4">
        <v>99.2</v>
      </c>
      <c r="E13" s="7" t="str">
        <f>if(C13&gt;statistics_analysis!$C$15,"high outlier",if(C13&lt;statistics_analysis!$C$14,"low outlier","normal"))</f>
        <v>normal</v>
      </c>
    </row>
    <row r="14">
      <c r="A14" s="3" t="s">
        <v>16</v>
      </c>
      <c r="B14" s="3">
        <v>9.0</v>
      </c>
      <c r="C14" s="4">
        <v>4.47</v>
      </c>
      <c r="D14" s="4">
        <v>159.2</v>
      </c>
      <c r="E14" s="7" t="str">
        <f>if(C14&gt;statistics_analysis!$C$15,"high outlier",if(C14&lt;statistics_analysis!$C$14,"low outlier","normal"))</f>
        <v>normal</v>
      </c>
    </row>
    <row r="15">
      <c r="A15" s="3" t="s">
        <v>17</v>
      </c>
      <c r="B15" s="3">
        <v>6.0</v>
      </c>
      <c r="C15" s="4">
        <v>15.31</v>
      </c>
      <c r="D15" s="4">
        <v>84.6</v>
      </c>
      <c r="E15" s="7" t="str">
        <f>if(C15&gt;statistics_analysis!$C$15,"high outlier",if(C15&lt;statistics_analysis!$C$14,"low outlier","normal"))</f>
        <v>normal</v>
      </c>
    </row>
    <row r="16">
      <c r="A16" s="3" t="s">
        <v>18</v>
      </c>
      <c r="B16" s="3">
        <v>6.0</v>
      </c>
      <c r="C16" s="4">
        <v>8.35</v>
      </c>
      <c r="D16" s="4">
        <v>160.4</v>
      </c>
      <c r="E16" s="7" t="str">
        <f>if(C16&gt;statistics_analysis!$C$15,"high outlier",if(C16&lt;statistics_analysis!$C$14,"low outlier","normal"))</f>
        <v>normal</v>
      </c>
    </row>
    <row r="17">
      <c r="A17" s="3" t="s">
        <v>19</v>
      </c>
      <c r="B17" s="3">
        <v>9.0</v>
      </c>
      <c r="C17" s="4">
        <v>3.75</v>
      </c>
      <c r="D17" s="4">
        <v>105.8</v>
      </c>
      <c r="E17" s="7" t="str">
        <f>if(C17&gt;statistics_analysis!$C$15,"high outlier",if(C17&lt;statistics_analysis!$C$14,"low outlier","normal"))</f>
        <v>normal</v>
      </c>
    </row>
    <row r="18">
      <c r="A18" s="3" t="s">
        <v>20</v>
      </c>
      <c r="B18" s="3">
        <v>4.0</v>
      </c>
      <c r="C18" s="4">
        <v>10.62</v>
      </c>
      <c r="D18" s="4">
        <v>122.2</v>
      </c>
      <c r="E18" s="7" t="str">
        <f>if(C18&gt;statistics_analysis!$C$15,"high outlier",if(C18&lt;statistics_analysis!$C$14,"low outlier","normal"))</f>
        <v>normal</v>
      </c>
    </row>
    <row r="19">
      <c r="A19" s="3" t="s">
        <v>21</v>
      </c>
      <c r="B19" s="3">
        <v>9.0</v>
      </c>
      <c r="C19" s="4">
        <v>2.64</v>
      </c>
      <c r="D19" s="4">
        <v>109.9</v>
      </c>
      <c r="E19" s="7" t="str">
        <f>if(C19&gt;statistics_analysis!$C$15,"high outlier",if(C19&lt;statistics_analysis!$C$14,"low outlier","normal"))</f>
        <v>normal</v>
      </c>
    </row>
    <row r="20">
      <c r="A20" s="3" t="s">
        <v>22</v>
      </c>
      <c r="B20" s="3">
        <v>2.0</v>
      </c>
      <c r="C20" s="4">
        <v>0.14</v>
      </c>
      <c r="D20" s="4">
        <v>158.5</v>
      </c>
      <c r="E20" s="7" t="str">
        <f>if(C20&gt;statistics_analysis!$C$15,"high outlier",if(C20&lt;statistics_analysis!$C$14,"low outlier","normal"))</f>
        <v>normal</v>
      </c>
    </row>
    <row r="21">
      <c r="A21" s="3" t="s">
        <v>23</v>
      </c>
      <c r="B21" s="3">
        <v>10.0</v>
      </c>
      <c r="C21" s="4">
        <v>14.45</v>
      </c>
      <c r="D21" s="4">
        <v>152.6</v>
      </c>
      <c r="E21" s="7" t="str">
        <f>if(C21&gt;statistics_analysis!$C$15,"high outlier",if(C21&lt;statistics_analysis!$C$14,"low outlier","normal"))</f>
        <v>normal</v>
      </c>
    </row>
    <row r="22">
      <c r="A22" s="3" t="s">
        <v>24</v>
      </c>
      <c r="B22" s="3">
        <v>6.0</v>
      </c>
      <c r="C22" s="4">
        <v>9.77</v>
      </c>
      <c r="D22" s="4">
        <v>133.3</v>
      </c>
      <c r="E22" s="7" t="str">
        <f>if(C22&gt;statistics_analysis!$C$15,"high outlier",if(C22&lt;statistics_analysis!$C$14,"low outlier","normal"))</f>
        <v>normal</v>
      </c>
    </row>
    <row r="23">
      <c r="A23" s="3" t="s">
        <v>25</v>
      </c>
      <c r="B23" s="3">
        <v>9.0</v>
      </c>
      <c r="C23" s="4">
        <v>14.37</v>
      </c>
      <c r="D23" s="4">
        <v>85.4</v>
      </c>
      <c r="E23" s="7" t="str">
        <f>if(C23&gt;statistics_analysis!$C$15,"high outlier",if(C23&lt;statistics_analysis!$C$14,"low outlier","normal"))</f>
        <v>normal</v>
      </c>
    </row>
    <row r="24">
      <c r="A24" s="3" t="s">
        <v>26</v>
      </c>
      <c r="B24" s="3">
        <v>4.0</v>
      </c>
      <c r="C24" s="4">
        <v>0.4</v>
      </c>
      <c r="D24" s="4">
        <v>98.5</v>
      </c>
      <c r="E24" s="7" t="str">
        <f>if(C24&gt;statistics_analysis!$C$15,"high outlier",if(C24&lt;statistics_analysis!$C$14,"low outlier","normal"))</f>
        <v>normal</v>
      </c>
    </row>
    <row r="25">
      <c r="A25" s="3" t="s">
        <v>27</v>
      </c>
      <c r="B25" s="3">
        <v>1.0</v>
      </c>
      <c r="C25" s="4">
        <v>18.15</v>
      </c>
      <c r="D25" s="4">
        <v>89.1</v>
      </c>
      <c r="E25" s="7" t="str">
        <f>if(C25&gt;statistics_analysis!$C$15,"high outlier",if(C25&lt;statistics_analysis!$C$14,"low outlier","normal"))</f>
        <v>normal</v>
      </c>
    </row>
    <row r="26">
      <c r="A26" s="3" t="s">
        <v>28</v>
      </c>
      <c r="B26" s="3">
        <v>6.0</v>
      </c>
      <c r="C26" s="4">
        <v>9.66</v>
      </c>
      <c r="D26" s="4">
        <v>52.6</v>
      </c>
      <c r="E26" s="7" t="str">
        <f>if(C26&gt;statistics_analysis!$C$15,"high outlier",if(C26&lt;statistics_analysis!$C$14,"low outlier","normal"))</f>
        <v>normal</v>
      </c>
    </row>
    <row r="27">
      <c r="A27" s="3" t="s">
        <v>29</v>
      </c>
      <c r="B27" s="3">
        <v>8.0</v>
      </c>
      <c r="C27" s="4">
        <v>8.29</v>
      </c>
      <c r="D27" s="4">
        <v>157.8</v>
      </c>
      <c r="E27" s="7" t="str">
        <f>if(C27&gt;statistics_analysis!$C$15,"high outlier",if(C27&lt;statistics_analysis!$C$14,"low outlier","normal"))</f>
        <v>normal</v>
      </c>
    </row>
    <row r="28">
      <c r="A28" s="3" t="s">
        <v>30</v>
      </c>
      <c r="B28" s="3">
        <v>6.0</v>
      </c>
      <c r="C28" s="4">
        <v>9.8</v>
      </c>
      <c r="D28" s="4">
        <v>110.2</v>
      </c>
      <c r="E28" s="7" t="str">
        <f>if(C28&gt;statistics_analysis!$C$15,"high outlier",if(C28&lt;statistics_analysis!$C$14,"low outlier","normal"))</f>
        <v>normal</v>
      </c>
    </row>
    <row r="29">
      <c r="A29" s="3" t="s">
        <v>31</v>
      </c>
      <c r="B29" s="3">
        <v>2.0</v>
      </c>
      <c r="C29" s="4">
        <v>19.98</v>
      </c>
      <c r="D29" s="4">
        <v>109.8</v>
      </c>
      <c r="E29" s="7" t="str">
        <f>if(C29&gt;statistics_analysis!$C$15,"high outlier",if(C29&lt;statistics_analysis!$C$14,"low outlier","normal"))</f>
        <v>normal</v>
      </c>
    </row>
    <row r="30">
      <c r="A30" s="3" t="s">
        <v>32</v>
      </c>
      <c r="B30" s="3">
        <v>3.0</v>
      </c>
      <c r="C30" s="4">
        <v>8.84</v>
      </c>
      <c r="D30" s="4">
        <v>164.9</v>
      </c>
      <c r="E30" s="7" t="str">
        <f>if(C30&gt;statistics_analysis!$C$15,"high outlier",if(C30&lt;statistics_analysis!$C$14,"low outlier","normal"))</f>
        <v>normal</v>
      </c>
    </row>
    <row r="31">
      <c r="A31" s="3" t="s">
        <v>33</v>
      </c>
      <c r="B31" s="3">
        <v>5.0</v>
      </c>
      <c r="C31" s="4">
        <v>8.7</v>
      </c>
      <c r="D31" s="4">
        <v>105.7</v>
      </c>
      <c r="E31" s="7" t="str">
        <f>if(C31&gt;statistics_analysis!$C$15,"high outlier",if(C31&lt;statistics_analysis!$C$14,"low outlier","normal"))</f>
        <v>normal</v>
      </c>
    </row>
    <row r="32">
      <c r="A32" s="3" t="s">
        <v>34</v>
      </c>
      <c r="B32" s="3">
        <v>3.0</v>
      </c>
      <c r="C32" s="4">
        <v>46.76</v>
      </c>
      <c r="D32" s="4">
        <v>94.8</v>
      </c>
      <c r="E32" s="7" t="str">
        <f>if(C32&gt;statistics_analysis!$C$15,"high outlier",if(C32&lt;statistics_analysis!$C$14,"low outlier","normal"))</f>
        <v>high outlier</v>
      </c>
    </row>
    <row r="33">
      <c r="A33" s="3" t="s">
        <v>35</v>
      </c>
      <c r="B33" s="3">
        <v>3.0</v>
      </c>
      <c r="C33" s="4">
        <v>14.14</v>
      </c>
      <c r="D33" s="4">
        <v>113.3</v>
      </c>
      <c r="E33" s="7" t="str">
        <f>if(C33&gt;statistics_analysis!$C$15,"high outlier",if(C33&lt;statistics_analysis!$C$14,"low outlier","normal"))</f>
        <v>normal</v>
      </c>
    </row>
    <row r="34">
      <c r="A34" s="3" t="s">
        <v>36</v>
      </c>
      <c r="B34" s="3">
        <v>5.0</v>
      </c>
      <c r="C34" s="4">
        <v>5.84</v>
      </c>
      <c r="D34" s="4">
        <v>86.0</v>
      </c>
      <c r="E34" s="7" t="str">
        <f>if(C34&gt;statistics_analysis!$C$15,"high outlier",if(C34&lt;statistics_analysis!$C$14,"low outlier","normal"))</f>
        <v>normal</v>
      </c>
    </row>
    <row r="35">
      <c r="A35" s="3" t="s">
        <v>37</v>
      </c>
      <c r="B35" s="3">
        <v>6.0</v>
      </c>
      <c r="C35" s="4">
        <v>12.29</v>
      </c>
      <c r="D35" s="4">
        <v>130.3</v>
      </c>
      <c r="E35" s="7" t="str">
        <f>if(C35&gt;statistics_analysis!$C$15,"high outlier",if(C35&lt;statistics_analysis!$C$14,"low outlier","normal"))</f>
        <v>normal</v>
      </c>
    </row>
    <row r="36">
      <c r="A36" s="3" t="s">
        <v>38</v>
      </c>
      <c r="B36" s="3">
        <v>5.0</v>
      </c>
      <c r="C36" s="4">
        <v>4.93</v>
      </c>
      <c r="D36" s="4">
        <v>108.8</v>
      </c>
      <c r="E36" s="7" t="str">
        <f>if(C36&gt;statistics_analysis!$C$15,"high outlier",if(C36&lt;statistics_analysis!$C$14,"low outlier","normal"))</f>
        <v>normal</v>
      </c>
    </row>
    <row r="37">
      <c r="A37" s="3" t="s">
        <v>39</v>
      </c>
      <c r="B37" s="3">
        <v>3.0</v>
      </c>
      <c r="C37" s="4">
        <v>2.6</v>
      </c>
      <c r="D37" s="4">
        <v>104.8</v>
      </c>
      <c r="E37" s="7" t="str">
        <f>if(C37&gt;statistics_analysis!$C$15,"high outlier",if(C37&lt;statistics_analysis!$C$14,"low outlier","normal"))</f>
        <v>normal</v>
      </c>
    </row>
    <row r="38">
      <c r="A38" s="3" t="s">
        <v>40</v>
      </c>
      <c r="B38" s="3">
        <v>5.0</v>
      </c>
      <c r="C38" s="4">
        <v>9.08</v>
      </c>
      <c r="D38" s="4">
        <v>102.2</v>
      </c>
      <c r="E38" s="7" t="str">
        <f>if(C38&gt;statistics_analysis!$C$15,"high outlier",if(C38&lt;statistics_analysis!$C$14,"low outlier","normal"))</f>
        <v>normal</v>
      </c>
    </row>
    <row r="39">
      <c r="A39" s="3" t="s">
        <v>41</v>
      </c>
      <c r="B39" s="3">
        <v>3.0</v>
      </c>
      <c r="C39" s="4">
        <v>26.34</v>
      </c>
      <c r="D39" s="4">
        <v>116.8</v>
      </c>
      <c r="E39" s="7" t="str">
        <f>if(C39&gt;statistics_analysis!$C$15,"high outlier",if(C39&lt;statistics_analysis!$C$14,"low outlier","normal"))</f>
        <v>normal</v>
      </c>
    </row>
    <row r="40">
      <c r="A40" s="3" t="s">
        <v>42</v>
      </c>
      <c r="B40" s="3">
        <v>3.0</v>
      </c>
      <c r="C40" s="4">
        <v>26.47</v>
      </c>
      <c r="D40" s="4">
        <v>122.5</v>
      </c>
      <c r="E40" s="7" t="str">
        <f>if(C40&gt;statistics_analysis!$C$15,"high outlier",if(C40&lt;statistics_analysis!$C$14,"low outlier","normal"))</f>
        <v>normal</v>
      </c>
    </row>
    <row r="41">
      <c r="A41" s="3" t="s">
        <v>43</v>
      </c>
      <c r="B41" s="3">
        <v>6.0</v>
      </c>
      <c r="C41" s="4">
        <v>4.18</v>
      </c>
      <c r="D41" s="4">
        <v>104.4</v>
      </c>
      <c r="E41" s="7" t="str">
        <f>if(C41&gt;statistics_analysis!$C$15,"high outlier",if(C41&lt;statistics_analysis!$C$14,"low outlier","normal"))</f>
        <v>normal</v>
      </c>
    </row>
    <row r="42">
      <c r="A42" s="3" t="s">
        <v>44</v>
      </c>
      <c r="B42" s="3">
        <v>5.0</v>
      </c>
      <c r="C42" s="4">
        <v>7.5</v>
      </c>
      <c r="D42" s="4">
        <v>109.2</v>
      </c>
      <c r="E42" s="7" t="str">
        <f>if(C42&gt;statistics_analysis!$C$15,"high outlier",if(C42&lt;statistics_analysis!$C$14,"low outlier","normal"))</f>
        <v>normal</v>
      </c>
    </row>
    <row r="43">
      <c r="A43" s="3" t="s">
        <v>45</v>
      </c>
      <c r="B43" s="3">
        <v>6.0</v>
      </c>
      <c r="C43" s="4">
        <v>2.38</v>
      </c>
      <c r="D43" s="4">
        <v>117.6</v>
      </c>
      <c r="E43" s="7" t="str">
        <f>if(C43&gt;statistics_analysis!$C$15,"high outlier",if(C43&lt;statistics_analysis!$C$14,"low outlier","normal"))</f>
        <v>normal</v>
      </c>
    </row>
    <row r="44">
      <c r="A44" s="3">
        <v>1.362871E7</v>
      </c>
      <c r="B44" s="3">
        <v>2.0</v>
      </c>
      <c r="C44" s="4">
        <v>54.33</v>
      </c>
      <c r="D44" s="4">
        <v>114.5</v>
      </c>
      <c r="E44" s="7" t="str">
        <f>if(C44&gt;statistics_analysis!$C$15,"high outlier",if(C44&lt;statistics_analysis!$C$14,"low outlier","normal"))</f>
        <v>high outlier</v>
      </c>
    </row>
    <row r="45">
      <c r="A45" s="3" t="s">
        <v>46</v>
      </c>
      <c r="B45" s="3">
        <v>4.0</v>
      </c>
      <c r="C45" s="4">
        <v>39.7</v>
      </c>
      <c r="D45" s="4">
        <v>120.9</v>
      </c>
      <c r="E45" s="7" t="str">
        <f>if(C45&gt;statistics_analysis!$C$15,"high outlier",if(C45&lt;statistics_analysis!$C$14,"low outlier","normal"))</f>
        <v>high outlier</v>
      </c>
    </row>
    <row r="46">
      <c r="A46" s="3" t="s">
        <v>47</v>
      </c>
      <c r="B46" s="3">
        <v>7.0</v>
      </c>
      <c r="C46" s="4">
        <v>10.48</v>
      </c>
      <c r="D46" s="4">
        <v>99.7</v>
      </c>
      <c r="E46" s="7" t="str">
        <f>if(C46&gt;statistics_analysis!$C$15,"high outlier",if(C46&lt;statistics_analysis!$C$14,"low outlier","normal"))</f>
        <v>normal</v>
      </c>
    </row>
    <row r="47">
      <c r="A47" s="3" t="s">
        <v>48</v>
      </c>
      <c r="B47" s="3">
        <v>6.0</v>
      </c>
      <c r="C47" s="4">
        <v>16.32</v>
      </c>
      <c r="D47" s="4">
        <v>150.1</v>
      </c>
      <c r="E47" s="7" t="str">
        <f>if(C47&gt;statistics_analysis!$C$15,"high outlier",if(C47&lt;statistics_analysis!$C$14,"low outlier","normal"))</f>
        <v>normal</v>
      </c>
    </row>
    <row r="48">
      <c r="A48" s="3" t="s">
        <v>49</v>
      </c>
      <c r="B48" s="3">
        <v>5.0</v>
      </c>
      <c r="C48" s="4">
        <v>12.56</v>
      </c>
      <c r="D48" s="4">
        <v>122.9</v>
      </c>
      <c r="E48" s="7" t="str">
        <f>if(C48&gt;statistics_analysis!$C$15,"high outlier",if(C48&lt;statistics_analysis!$C$14,"low outlier","normal"))</f>
        <v>normal</v>
      </c>
    </row>
    <row r="49">
      <c r="A49" s="3" t="s">
        <v>50</v>
      </c>
      <c r="B49" s="3">
        <v>4.0</v>
      </c>
      <c r="C49" s="4">
        <v>8.99</v>
      </c>
      <c r="D49" s="4">
        <v>104.9</v>
      </c>
      <c r="E49" s="7" t="str">
        <f>if(C49&gt;statistics_analysis!$C$15,"high outlier",if(C49&lt;statistics_analysis!$C$14,"low outlier","normal"))</f>
        <v>normal</v>
      </c>
    </row>
    <row r="50">
      <c r="A50" s="3" t="s">
        <v>51</v>
      </c>
      <c r="B50" s="3">
        <v>3.0</v>
      </c>
      <c r="C50" s="4">
        <v>0.55</v>
      </c>
      <c r="D50" s="4">
        <v>130.3</v>
      </c>
      <c r="E50" s="7" t="str">
        <f>if(C50&gt;statistics_analysis!$C$15,"high outlier",if(C50&lt;statistics_analysis!$C$14,"low outlier","normal"))</f>
        <v>normal</v>
      </c>
    </row>
    <row r="51">
      <c r="A51" s="3" t="s">
        <v>52</v>
      </c>
      <c r="B51" s="3">
        <v>3.0</v>
      </c>
      <c r="C51" s="4">
        <v>6.07</v>
      </c>
      <c r="D51" s="4">
        <v>117.8</v>
      </c>
      <c r="E51" s="7" t="str">
        <f>if(C51&gt;statistics_analysis!$C$15,"high outlier",if(C51&lt;statistics_analysis!$C$14,"low outlier","normal"))</f>
        <v>normal</v>
      </c>
    </row>
    <row r="52">
      <c r="A52" s="3" t="s">
        <v>53</v>
      </c>
      <c r="B52" s="3">
        <v>7.0</v>
      </c>
      <c r="C52" s="4">
        <v>11.23</v>
      </c>
      <c r="D52" s="4">
        <v>68.0</v>
      </c>
      <c r="E52" s="7" t="str">
        <f>if(C52&gt;statistics_analysis!$C$15,"high outlier",if(C52&lt;statistics_analysis!$C$14,"low outlier","normal"))</f>
        <v>normal</v>
      </c>
    </row>
    <row r="53">
      <c r="A53" s="3" t="s">
        <v>54</v>
      </c>
      <c r="B53" s="3">
        <v>7.0</v>
      </c>
      <c r="C53" s="4">
        <v>11.32</v>
      </c>
      <c r="D53" s="4">
        <v>130.2</v>
      </c>
      <c r="E53" s="7" t="str">
        <f>if(C53&gt;statistics_analysis!$C$15,"high outlier",if(C53&lt;statistics_analysis!$C$14,"low outlier","normal"))</f>
        <v>normal</v>
      </c>
    </row>
    <row r="54">
      <c r="A54" s="3" t="s">
        <v>55</v>
      </c>
      <c r="B54" s="3">
        <v>6.0</v>
      </c>
      <c r="C54" s="4">
        <v>4.67</v>
      </c>
      <c r="D54" s="4">
        <v>89.4</v>
      </c>
      <c r="E54" s="7" t="str">
        <f>if(C54&gt;statistics_analysis!$C$15,"high outlier",if(C54&lt;statistics_analysis!$C$14,"low outlier","normal"))</f>
        <v>normal</v>
      </c>
    </row>
    <row r="55">
      <c r="A55" s="3" t="s">
        <v>56</v>
      </c>
      <c r="B55" s="3">
        <v>6.0</v>
      </c>
      <c r="C55" s="4">
        <v>28.42</v>
      </c>
      <c r="D55" s="4">
        <v>148.0</v>
      </c>
      <c r="E55" s="7" t="str">
        <f>if(C55&gt;statistics_analysis!$C$15,"high outlier",if(C55&lt;statistics_analysis!$C$14,"low outlier","normal"))</f>
        <v>normal</v>
      </c>
    </row>
    <row r="56">
      <c r="A56" s="3" t="s">
        <v>57</v>
      </c>
      <c r="B56" s="3">
        <v>7.0</v>
      </c>
      <c r="C56" s="4">
        <v>1.83</v>
      </c>
      <c r="D56" s="4">
        <v>112.7</v>
      </c>
      <c r="E56" s="7" t="str">
        <f>if(C56&gt;statistics_analysis!$C$15,"high outlier",if(C56&lt;statistics_analysis!$C$14,"low outlier","normal"))</f>
        <v>normal</v>
      </c>
    </row>
    <row r="57">
      <c r="A57" s="3" t="s">
        <v>58</v>
      </c>
      <c r="B57" s="3">
        <v>8.0</v>
      </c>
      <c r="C57" s="4">
        <v>6.94</v>
      </c>
      <c r="D57" s="4">
        <v>143.4</v>
      </c>
      <c r="E57" s="7" t="str">
        <f>if(C57&gt;statistics_analysis!$C$15,"high outlier",if(C57&lt;statistics_analysis!$C$14,"low outlier","normal"))</f>
        <v>normal</v>
      </c>
    </row>
    <row r="58">
      <c r="A58" s="3" t="s">
        <v>59</v>
      </c>
      <c r="B58" s="3">
        <v>6.0</v>
      </c>
      <c r="C58" s="4">
        <v>11.74</v>
      </c>
      <c r="D58" s="4">
        <v>101.1</v>
      </c>
      <c r="E58" s="7" t="str">
        <f>if(C58&gt;statistics_analysis!$C$15,"high outlier",if(C58&lt;statistics_analysis!$C$14,"low outlier","normal"))</f>
        <v>normal</v>
      </c>
    </row>
    <row r="59">
      <c r="A59" s="3" t="s">
        <v>60</v>
      </c>
      <c r="B59" s="3">
        <v>3.0</v>
      </c>
      <c r="C59" s="4">
        <v>11.94</v>
      </c>
      <c r="D59" s="4">
        <v>122.1</v>
      </c>
      <c r="E59" s="7" t="str">
        <f>if(C59&gt;statistics_analysis!$C$15,"high outlier",if(C59&lt;statistics_analysis!$C$14,"low outlier","normal"))</f>
        <v>normal</v>
      </c>
    </row>
    <row r="60">
      <c r="A60" s="3" t="s">
        <v>61</v>
      </c>
      <c r="B60" s="3">
        <v>7.0</v>
      </c>
      <c r="C60" s="4">
        <v>10.46</v>
      </c>
      <c r="D60" s="4">
        <v>156.3</v>
      </c>
      <c r="E60" s="7" t="str">
        <f>if(C60&gt;statistics_analysis!$C$15,"high outlier",if(C60&lt;statistics_analysis!$C$14,"low outlier","normal"))</f>
        <v>normal</v>
      </c>
    </row>
    <row r="61">
      <c r="A61" s="3" t="s">
        <v>62</v>
      </c>
      <c r="B61" s="3">
        <v>5.0</v>
      </c>
      <c r="C61" s="4">
        <v>3.22</v>
      </c>
      <c r="D61" s="4">
        <v>111.9</v>
      </c>
      <c r="E61" s="7" t="str">
        <f>if(C61&gt;statistics_analysis!$C$15,"high outlier",if(C61&lt;statistics_analysis!$C$14,"low outlier","normal"))</f>
        <v>normal</v>
      </c>
    </row>
    <row r="62">
      <c r="A62" s="3" t="s">
        <v>63</v>
      </c>
      <c r="B62" s="3">
        <v>5.0</v>
      </c>
      <c r="C62" s="4">
        <v>1.7</v>
      </c>
      <c r="D62" s="4">
        <v>102.3</v>
      </c>
      <c r="E62" s="7" t="str">
        <f>if(C62&gt;statistics_analysis!$C$15,"high outlier",if(C62&lt;statistics_analysis!$C$14,"low outlier","normal"))</f>
        <v>normal</v>
      </c>
    </row>
    <row r="63">
      <c r="A63" s="3" t="s">
        <v>64</v>
      </c>
      <c r="B63" s="3">
        <v>7.0</v>
      </c>
      <c r="C63" s="4">
        <v>10.1</v>
      </c>
      <c r="D63" s="4">
        <v>139.7</v>
      </c>
      <c r="E63" s="7" t="str">
        <f>if(C63&gt;statistics_analysis!$C$15,"high outlier",if(C63&lt;statistics_analysis!$C$14,"low outlier","normal"))</f>
        <v>normal</v>
      </c>
    </row>
    <row r="64">
      <c r="A64" s="3" t="s">
        <v>65</v>
      </c>
      <c r="B64" s="3">
        <v>4.0</v>
      </c>
      <c r="C64" s="4">
        <v>9.15</v>
      </c>
      <c r="D64" s="4">
        <v>139.1</v>
      </c>
      <c r="E64" s="7" t="str">
        <f>if(C64&gt;statistics_analysis!$C$15,"high outlier",if(C64&lt;statistics_analysis!$C$14,"low outlier","normal"))</f>
        <v>normal</v>
      </c>
    </row>
    <row r="65">
      <c r="A65" s="3" t="s">
        <v>66</v>
      </c>
      <c r="B65" s="3">
        <v>9.0</v>
      </c>
      <c r="C65" s="4">
        <v>1.98</v>
      </c>
      <c r="D65" s="4">
        <v>103.5</v>
      </c>
      <c r="E65" s="7" t="str">
        <f>if(C65&gt;statistics_analysis!$C$15,"high outlier",if(C65&lt;statistics_analysis!$C$14,"low outlier","normal"))</f>
        <v>normal</v>
      </c>
    </row>
    <row r="66">
      <c r="A66" s="3" t="s">
        <v>67</v>
      </c>
      <c r="B66" s="3">
        <v>4.0</v>
      </c>
      <c r="C66" s="4">
        <v>12.21</v>
      </c>
      <c r="D66" s="4">
        <v>60.4</v>
      </c>
      <c r="E66" s="7" t="str">
        <f>if(C66&gt;statistics_analysis!$C$15,"high outlier",if(C66&lt;statistics_analysis!$C$14,"low outlier","normal"))</f>
        <v>normal</v>
      </c>
    </row>
    <row r="67">
      <c r="A67" s="3" t="s">
        <v>68</v>
      </c>
      <c r="B67" s="3">
        <v>5.0</v>
      </c>
      <c r="C67" s="4">
        <v>6.07</v>
      </c>
      <c r="D67" s="4">
        <v>101.7</v>
      </c>
      <c r="E67" s="7" t="str">
        <f>if(C67&gt;statistics_analysis!$C$15,"high outlier",if(C67&lt;statistics_analysis!$C$14,"low outlier","normal"))</f>
        <v>normal</v>
      </c>
    </row>
    <row r="68">
      <c r="A68" s="3" t="s">
        <v>69</v>
      </c>
      <c r="B68" s="3">
        <v>2.0</v>
      </c>
      <c r="C68" s="4">
        <v>11.02</v>
      </c>
      <c r="D68" s="4">
        <v>140.3</v>
      </c>
      <c r="E68" s="7" t="str">
        <f>if(C68&gt;statistics_analysis!$C$15,"high outlier",if(C68&lt;statistics_analysis!$C$14,"low outlier","normal"))</f>
        <v>normal</v>
      </c>
    </row>
    <row r="69">
      <c r="A69" s="3" t="s">
        <v>70</v>
      </c>
      <c r="B69" s="3">
        <v>6.0</v>
      </c>
      <c r="C69" s="4">
        <v>18.16</v>
      </c>
      <c r="D69" s="4">
        <v>96.7</v>
      </c>
      <c r="E69" s="7" t="str">
        <f>if(C69&gt;statistics_analysis!$C$15,"high outlier",if(C69&lt;statistics_analysis!$C$14,"low outlier","normal"))</f>
        <v>normal</v>
      </c>
    </row>
    <row r="70">
      <c r="A70" s="3" t="s">
        <v>71</v>
      </c>
      <c r="B70" s="3">
        <v>3.0</v>
      </c>
      <c r="C70" s="4">
        <v>1.86</v>
      </c>
      <c r="D70" s="4">
        <v>119.7</v>
      </c>
      <c r="E70" s="7" t="str">
        <f>if(C70&gt;statistics_analysis!$C$15,"high outlier",if(C70&lt;statistics_analysis!$C$14,"low outlier","normal"))</f>
        <v>normal</v>
      </c>
    </row>
    <row r="71">
      <c r="A71" s="3" t="s">
        <v>72</v>
      </c>
      <c r="B71" s="3">
        <v>6.0</v>
      </c>
      <c r="C71" s="4">
        <v>0.19</v>
      </c>
      <c r="D71" s="4">
        <v>100.3</v>
      </c>
      <c r="E71" s="7" t="str">
        <f>if(C71&gt;statistics_analysis!$C$15,"high outlier",if(C71&lt;statistics_analysis!$C$14,"low outlier","normal"))</f>
        <v>normal</v>
      </c>
    </row>
    <row r="72">
      <c r="A72" s="3" t="s">
        <v>73</v>
      </c>
      <c r="B72" s="3">
        <v>2.0</v>
      </c>
      <c r="C72" s="4">
        <v>15.1</v>
      </c>
      <c r="D72" s="4">
        <v>62.0</v>
      </c>
      <c r="E72" s="7" t="str">
        <f>if(C72&gt;statistics_analysis!$C$15,"high outlier",if(C72&lt;statistics_analysis!$C$14,"low outlier","normal"))</f>
        <v>normal</v>
      </c>
    </row>
    <row r="73">
      <c r="A73" s="3" t="s">
        <v>74</v>
      </c>
      <c r="B73" s="3">
        <v>3.0</v>
      </c>
      <c r="C73" s="4">
        <v>9.41</v>
      </c>
      <c r="D73" s="4">
        <v>99.7</v>
      </c>
      <c r="E73" s="7" t="str">
        <f>if(C73&gt;statistics_analysis!$C$15,"high outlier",if(C73&lt;statistics_analysis!$C$14,"low outlier","normal"))</f>
        <v>normal</v>
      </c>
    </row>
    <row r="74">
      <c r="A74" s="3" t="s">
        <v>75</v>
      </c>
      <c r="B74" s="3">
        <v>5.0</v>
      </c>
      <c r="C74" s="4">
        <v>12.03</v>
      </c>
      <c r="D74" s="4">
        <v>140.2</v>
      </c>
      <c r="E74" s="7" t="str">
        <f>if(C74&gt;statistics_analysis!$C$15,"high outlier",if(C74&lt;statistics_analysis!$C$14,"low outlier","normal"))</f>
        <v>normal</v>
      </c>
    </row>
    <row r="75">
      <c r="A75" s="3" t="s">
        <v>76</v>
      </c>
      <c r="B75" s="3">
        <v>3.0</v>
      </c>
      <c r="C75" s="4">
        <v>18.21</v>
      </c>
      <c r="D75" s="4">
        <v>48.9</v>
      </c>
      <c r="E75" s="7" t="str">
        <f>if(C75&gt;statistics_analysis!$C$15,"high outlier",if(C75&lt;statistics_analysis!$C$14,"low outlier","normal"))</f>
        <v>normal</v>
      </c>
    </row>
    <row r="76">
      <c r="A76" s="3" t="s">
        <v>77</v>
      </c>
      <c r="B76" s="3">
        <v>4.0</v>
      </c>
      <c r="C76" s="4">
        <v>16.24</v>
      </c>
      <c r="D76" s="4">
        <v>127.6</v>
      </c>
      <c r="E76" s="7" t="str">
        <f>if(C76&gt;statistics_analysis!$C$15,"high outlier",if(C76&lt;statistics_analysis!$C$14,"low outlier","normal"))</f>
        <v>normal</v>
      </c>
    </row>
    <row r="77">
      <c r="A77" s="3" t="s">
        <v>78</v>
      </c>
      <c r="B77" s="3">
        <v>5.0</v>
      </c>
      <c r="C77" s="4">
        <v>32.42</v>
      </c>
      <c r="D77" s="4">
        <v>84.4</v>
      </c>
      <c r="E77" s="7" t="str">
        <f>if(C77&gt;statistics_analysis!$C$15,"high outlier",if(C77&lt;statistics_analysis!$C$14,"low outlier","normal"))</f>
        <v>high outlier</v>
      </c>
    </row>
    <row r="78">
      <c r="A78" s="3" t="s">
        <v>79</v>
      </c>
      <c r="B78" s="3">
        <v>6.0</v>
      </c>
      <c r="C78" s="4">
        <v>7.68</v>
      </c>
      <c r="D78" s="4">
        <v>138.3</v>
      </c>
      <c r="E78" s="7" t="str">
        <f>if(C78&gt;statistics_analysis!$C$15,"high outlier",if(C78&lt;statistics_analysis!$C$14,"low outlier","normal"))</f>
        <v>normal</v>
      </c>
    </row>
    <row r="79">
      <c r="A79" s="3" t="s">
        <v>80</v>
      </c>
      <c r="B79" s="3">
        <v>3.0</v>
      </c>
      <c r="C79" s="4">
        <v>6.7</v>
      </c>
      <c r="D79" s="4">
        <v>141.4</v>
      </c>
      <c r="E79" s="7" t="str">
        <f>if(C79&gt;statistics_analysis!$C$15,"high outlier",if(C79&lt;statistics_analysis!$C$14,"low outlier","normal"))</f>
        <v>normal</v>
      </c>
    </row>
    <row r="80">
      <c r="A80" s="3" t="s">
        <v>81</v>
      </c>
      <c r="B80" s="3">
        <v>3.0</v>
      </c>
      <c r="C80" s="4">
        <v>5.14</v>
      </c>
      <c r="D80" s="4">
        <v>114.8</v>
      </c>
      <c r="E80" s="7" t="str">
        <f>if(C80&gt;statistics_analysis!$C$15,"high outlier",if(C80&lt;statistics_analysis!$C$14,"low outlier","normal"))</f>
        <v>normal</v>
      </c>
    </row>
    <row r="81">
      <c r="A81" s="3" t="s">
        <v>82</v>
      </c>
      <c r="B81" s="3">
        <v>4.0</v>
      </c>
      <c r="C81" s="4">
        <v>1.67</v>
      </c>
      <c r="D81" s="4">
        <v>114.9</v>
      </c>
      <c r="E81" s="7" t="str">
        <f>if(C81&gt;statistics_analysis!$C$15,"high outlier",if(C81&lt;statistics_analysis!$C$14,"low outlier","normal"))</f>
        <v>normal</v>
      </c>
    </row>
    <row r="82">
      <c r="A82" s="3" t="s">
        <v>83</v>
      </c>
      <c r="B82" s="3">
        <v>5.0</v>
      </c>
      <c r="C82" s="4">
        <v>8.5</v>
      </c>
      <c r="D82" s="4">
        <v>95.8</v>
      </c>
      <c r="E82" s="7" t="str">
        <f>if(C82&gt;statistics_analysis!$C$15,"high outlier",if(C82&lt;statistics_analysis!$C$14,"low outlier","normal"))</f>
        <v>normal</v>
      </c>
    </row>
    <row r="83">
      <c r="A83" s="3" t="s">
        <v>84</v>
      </c>
      <c r="B83" s="3">
        <v>4.0</v>
      </c>
      <c r="C83" s="4">
        <v>3.24</v>
      </c>
      <c r="D83" s="4">
        <v>79.6</v>
      </c>
      <c r="E83" s="7" t="str">
        <f>if(C83&gt;statistics_analysis!$C$15,"high outlier",if(C83&lt;statistics_analysis!$C$14,"low outlier","normal"))</f>
        <v>normal</v>
      </c>
    </row>
    <row r="84">
      <c r="A84" s="3" t="s">
        <v>85</v>
      </c>
      <c r="B84" s="3">
        <v>2.0</v>
      </c>
      <c r="C84" s="4">
        <v>25.42</v>
      </c>
      <c r="D84" s="4">
        <v>170.9</v>
      </c>
      <c r="E84" s="7" t="str">
        <f>if(C84&gt;statistics_analysis!$C$15,"high outlier",if(C84&lt;statistics_analysis!$C$14,"low outlier","normal"))</f>
        <v>normal</v>
      </c>
    </row>
    <row r="85">
      <c r="A85" s="3" t="s">
        <v>86</v>
      </c>
      <c r="B85" s="3">
        <v>6.0</v>
      </c>
      <c r="C85" s="4">
        <v>8.75</v>
      </c>
      <c r="D85" s="4">
        <v>94.0</v>
      </c>
      <c r="E85" s="7" t="str">
        <f>if(C85&gt;statistics_analysis!$C$15,"high outlier",if(C85&lt;statistics_analysis!$C$14,"low outlier","normal"))</f>
        <v>normal</v>
      </c>
    </row>
    <row r="86">
      <c r="A86" s="3" t="s">
        <v>87</v>
      </c>
      <c r="B86" s="3">
        <v>6.0</v>
      </c>
      <c r="C86" s="4">
        <v>8.99</v>
      </c>
      <c r="D86" s="4">
        <v>167.0</v>
      </c>
      <c r="E86" s="7" t="str">
        <f>if(C86&gt;statistics_analysis!$C$15,"high outlier",if(C86&lt;statistics_analysis!$C$14,"low outlier","normal"))</f>
        <v>normal</v>
      </c>
    </row>
    <row r="87">
      <c r="A87" s="3" t="s">
        <v>88</v>
      </c>
      <c r="B87" s="3">
        <v>8.0</v>
      </c>
      <c r="C87" s="4">
        <v>4.38</v>
      </c>
      <c r="D87" s="4">
        <v>94.2</v>
      </c>
      <c r="E87" s="7" t="str">
        <f>if(C87&gt;statistics_analysis!$C$15,"high outlier",if(C87&lt;statistics_analysis!$C$14,"low outlier","normal"))</f>
        <v>normal</v>
      </c>
    </row>
    <row r="88">
      <c r="A88" s="3" t="s">
        <v>89</v>
      </c>
      <c r="B88" s="3">
        <v>1.0</v>
      </c>
      <c r="C88" s="4">
        <v>0.53</v>
      </c>
      <c r="D88" s="4">
        <v>135.8</v>
      </c>
      <c r="E88" s="7" t="str">
        <f>if(C88&gt;statistics_analysis!$C$15,"high outlier",if(C88&lt;statistics_analysis!$C$14,"low outlier","normal"))</f>
        <v>normal</v>
      </c>
    </row>
    <row r="89">
      <c r="A89" s="3" t="s">
        <v>90</v>
      </c>
      <c r="B89" s="3">
        <v>6.0</v>
      </c>
      <c r="C89" s="4">
        <v>0.32</v>
      </c>
      <c r="D89" s="4">
        <v>85.9</v>
      </c>
      <c r="E89" s="7" t="str">
        <f>if(C89&gt;statistics_analysis!$C$15,"high outlier",if(C89&lt;statistics_analysis!$C$14,"low outlier","normal"))</f>
        <v>normal</v>
      </c>
    </row>
    <row r="90">
      <c r="A90" s="3" t="s">
        <v>91</v>
      </c>
      <c r="B90" s="3">
        <v>2.0</v>
      </c>
      <c r="C90" s="4">
        <v>5.5</v>
      </c>
      <c r="D90" s="4">
        <v>135.7</v>
      </c>
      <c r="E90" s="7" t="str">
        <f>if(C90&gt;statistics_analysis!$C$15,"high outlier",if(C90&lt;statistics_analysis!$C$14,"low outlier","normal"))</f>
        <v>normal</v>
      </c>
    </row>
    <row r="91">
      <c r="A91" s="3" t="s">
        <v>92</v>
      </c>
      <c r="B91" s="3">
        <v>5.0</v>
      </c>
      <c r="C91" s="4">
        <v>0.88</v>
      </c>
      <c r="D91" s="4">
        <v>110.2</v>
      </c>
      <c r="E91" s="7" t="str">
        <f>if(C91&gt;statistics_analysis!$C$15,"high outlier",if(C91&lt;statistics_analysis!$C$14,"low outlier","normal"))</f>
        <v>normal</v>
      </c>
    </row>
    <row r="92">
      <c r="A92" s="3">
        <v>6.5451583E7</v>
      </c>
      <c r="B92" s="3">
        <v>2.0</v>
      </c>
      <c r="C92" s="4">
        <v>9.34</v>
      </c>
      <c r="D92" s="4">
        <v>110.6</v>
      </c>
      <c r="E92" s="7" t="str">
        <f>if(C92&gt;statistics_analysis!$C$15,"high outlier",if(C92&lt;statistics_analysis!$C$14,"low outlier","normal"))</f>
        <v>normal</v>
      </c>
    </row>
    <row r="93">
      <c r="A93" s="3" t="s">
        <v>93</v>
      </c>
      <c r="B93" s="3">
        <v>6.0</v>
      </c>
      <c r="C93" s="4">
        <v>21.28</v>
      </c>
      <c r="D93" s="4">
        <v>138.3</v>
      </c>
      <c r="E93" s="7" t="str">
        <f>if(C93&gt;statistics_analysis!$C$15,"high outlier",if(C93&lt;statistics_analysis!$C$14,"low outlier","normal"))</f>
        <v>normal</v>
      </c>
    </row>
    <row r="94">
      <c r="A94" s="3" t="s">
        <v>94</v>
      </c>
      <c r="B94" s="3">
        <v>4.0</v>
      </c>
      <c r="C94" s="4">
        <v>21.45</v>
      </c>
      <c r="D94" s="4">
        <v>105.9</v>
      </c>
      <c r="E94" s="7" t="str">
        <f>if(C94&gt;statistics_analysis!$C$15,"high outlier",if(C94&lt;statistics_analysis!$C$14,"low outlier","normal"))</f>
        <v>normal</v>
      </c>
    </row>
    <row r="95">
      <c r="A95" s="3" t="s">
        <v>95</v>
      </c>
      <c r="B95" s="3">
        <v>3.0</v>
      </c>
      <c r="C95" s="4">
        <v>10.76</v>
      </c>
      <c r="D95" s="4">
        <v>77.2</v>
      </c>
      <c r="E95" s="7" t="str">
        <f>if(C95&gt;statistics_analysis!$C$15,"high outlier",if(C95&lt;statistics_analysis!$C$14,"low outlier","normal"))</f>
        <v>normal</v>
      </c>
    </row>
    <row r="96">
      <c r="A96" s="3" t="s">
        <v>96</v>
      </c>
      <c r="B96" s="3">
        <v>5.0</v>
      </c>
      <c r="C96" s="4">
        <v>2.37</v>
      </c>
      <c r="D96" s="4">
        <v>142.8</v>
      </c>
      <c r="E96" s="7" t="str">
        <f>if(C96&gt;statistics_analysis!$C$15,"high outlier",if(C96&lt;statistics_analysis!$C$14,"low outlier","normal"))</f>
        <v>normal</v>
      </c>
    </row>
    <row r="97">
      <c r="A97" s="3" t="s">
        <v>97</v>
      </c>
      <c r="B97" s="3">
        <v>6.0</v>
      </c>
      <c r="C97" s="4">
        <v>19.88</v>
      </c>
      <c r="D97" s="4">
        <v>85.6</v>
      </c>
      <c r="E97" s="7" t="str">
        <f>if(C97&gt;statistics_analysis!$C$15,"high outlier",if(C97&lt;statistics_analysis!$C$14,"low outlier","normal"))</f>
        <v>normal</v>
      </c>
    </row>
    <row r="98">
      <c r="A98" s="3" t="s">
        <v>98</v>
      </c>
      <c r="B98" s="3">
        <v>3.0</v>
      </c>
      <c r="C98" s="4">
        <v>21.72</v>
      </c>
      <c r="D98" s="4">
        <v>135.5</v>
      </c>
      <c r="E98" s="7" t="str">
        <f>if(C98&gt;statistics_analysis!$C$15,"high outlier",if(C98&lt;statistics_analysis!$C$14,"low outlier","normal"))</f>
        <v>normal</v>
      </c>
    </row>
    <row r="99">
      <c r="A99" s="3" t="s">
        <v>99</v>
      </c>
      <c r="B99" s="3">
        <v>4.0</v>
      </c>
      <c r="C99" s="4">
        <v>2.19</v>
      </c>
      <c r="D99" s="4">
        <v>149.2</v>
      </c>
      <c r="E99" s="7" t="str">
        <f>if(C99&gt;statistics_analysis!$C$15,"high outlier",if(C99&lt;statistics_analysis!$C$14,"low outlier","normal"))</f>
        <v>normal</v>
      </c>
    </row>
    <row r="100">
      <c r="A100" s="3" t="s">
        <v>100</v>
      </c>
      <c r="B100" s="3">
        <v>8.0</v>
      </c>
      <c r="C100" s="4">
        <v>13.37</v>
      </c>
      <c r="D100" s="4">
        <v>108.7</v>
      </c>
      <c r="E100" s="7" t="str">
        <f>if(C100&gt;statistics_analysis!$C$15,"high outlier",if(C100&lt;statistics_analysis!$C$14,"low outlier","normal"))</f>
        <v>normal</v>
      </c>
    </row>
    <row r="101">
      <c r="A101" s="3" t="s">
        <v>101</v>
      </c>
      <c r="B101" s="3">
        <v>4.0</v>
      </c>
      <c r="C101" s="4">
        <v>3.38</v>
      </c>
      <c r="D101" s="4">
        <v>155.5</v>
      </c>
      <c r="E101" s="7" t="str">
        <f>if(C101&gt;statistics_analysis!$C$15,"high outlier",if(C101&lt;statistics_analysis!$C$14,"low outlier","normal"))</f>
        <v>normal</v>
      </c>
    </row>
    <row r="102">
      <c r="A102" s="3" t="s">
        <v>102</v>
      </c>
      <c r="B102" s="3">
        <v>10.0</v>
      </c>
      <c r="C102" s="4">
        <v>16.23</v>
      </c>
      <c r="D102" s="4">
        <v>134.5</v>
      </c>
      <c r="E102" s="7" t="str">
        <f>if(C102&gt;statistics_analysis!$C$15,"high outlier",if(C102&lt;statistics_analysis!$C$14,"low outlier","normal"))</f>
        <v>normal</v>
      </c>
    </row>
    <row r="103">
      <c r="A103" s="3" t="s">
        <v>103</v>
      </c>
      <c r="B103" s="3">
        <v>4.0</v>
      </c>
      <c r="C103" s="4">
        <v>58.92</v>
      </c>
      <c r="D103" s="4">
        <v>99.1</v>
      </c>
      <c r="E103" s="7" t="str">
        <f>if(C103&gt;statistics_analysis!$C$15,"high outlier",if(C103&lt;statistics_analysis!$C$14,"low outlier","normal"))</f>
        <v>high outlier</v>
      </c>
    </row>
    <row r="104">
      <c r="A104" s="3" t="s">
        <v>104</v>
      </c>
      <c r="B104" s="3">
        <v>5.0</v>
      </c>
      <c r="C104" s="4">
        <v>0.3</v>
      </c>
      <c r="D104" s="4">
        <v>162.0</v>
      </c>
      <c r="E104" s="7" t="str">
        <f>if(C104&gt;statistics_analysis!$C$15,"high outlier",if(C104&lt;statistics_analysis!$C$14,"low outlier","normal"))</f>
        <v>normal</v>
      </c>
    </row>
    <row r="105">
      <c r="A105" s="3" t="s">
        <v>105</v>
      </c>
      <c r="B105" s="3">
        <v>10.0</v>
      </c>
      <c r="C105" s="4">
        <v>22.77</v>
      </c>
      <c r="D105" s="4">
        <v>85.7</v>
      </c>
      <c r="E105" s="7" t="str">
        <f>if(C105&gt;statistics_analysis!$C$15,"high outlier",if(C105&lt;statistics_analysis!$C$14,"low outlier","normal"))</f>
        <v>normal</v>
      </c>
    </row>
    <row r="106">
      <c r="A106" s="3" t="s">
        <v>106</v>
      </c>
      <c r="B106" s="3">
        <v>3.0</v>
      </c>
      <c r="C106" s="4">
        <v>9.75</v>
      </c>
      <c r="D106" s="4">
        <v>108.7</v>
      </c>
      <c r="E106" s="7" t="str">
        <f>if(C106&gt;statistics_analysis!$C$15,"high outlier",if(C106&lt;statistics_analysis!$C$14,"low outlier","normal"))</f>
        <v>normal</v>
      </c>
    </row>
    <row r="107">
      <c r="A107" s="3" t="s">
        <v>107</v>
      </c>
      <c r="B107" s="3">
        <v>4.0</v>
      </c>
      <c r="C107" s="4">
        <v>36.26</v>
      </c>
      <c r="D107" s="4">
        <v>113.8</v>
      </c>
      <c r="E107" s="7" t="str">
        <f>if(C107&gt;statistics_analysis!$C$15,"high outlier",if(C107&lt;statistics_analysis!$C$14,"low outlier","normal"))</f>
        <v>high outlier</v>
      </c>
    </row>
    <row r="108">
      <c r="A108" s="3" t="s">
        <v>108</v>
      </c>
      <c r="B108" s="3">
        <v>7.0</v>
      </c>
      <c r="C108" s="4">
        <v>6.26</v>
      </c>
      <c r="D108" s="4">
        <v>138.2</v>
      </c>
      <c r="E108" s="7" t="str">
        <f>if(C108&gt;statistics_analysis!$C$15,"high outlier",if(C108&lt;statistics_analysis!$C$14,"low outlier","normal"))</f>
        <v>normal</v>
      </c>
    </row>
    <row r="109">
      <c r="A109" s="3" t="s">
        <v>109</v>
      </c>
      <c r="B109" s="3">
        <v>5.0</v>
      </c>
      <c r="C109" s="4">
        <v>18.8</v>
      </c>
      <c r="D109" s="4">
        <v>153.5</v>
      </c>
      <c r="E109" s="7" t="str">
        <f>if(C109&gt;statistics_analysis!$C$15,"high outlier",if(C109&lt;statistics_analysis!$C$14,"low outlier","normal"))</f>
        <v>normal</v>
      </c>
    </row>
    <row r="110">
      <c r="A110" s="3" t="s">
        <v>110</v>
      </c>
      <c r="B110" s="3">
        <v>10.0</v>
      </c>
      <c r="C110" s="4">
        <v>0.64</v>
      </c>
      <c r="D110" s="4">
        <v>151.6</v>
      </c>
      <c r="E110" s="7" t="str">
        <f>if(C110&gt;statistics_analysis!$C$15,"high outlier",if(C110&lt;statistics_analysis!$C$14,"low outlier","normal"))</f>
        <v>normal</v>
      </c>
    </row>
    <row r="111">
      <c r="A111" s="3" t="s">
        <v>111</v>
      </c>
      <c r="B111" s="3">
        <v>4.0</v>
      </c>
      <c r="C111" s="4">
        <v>4.08</v>
      </c>
      <c r="D111" s="4">
        <v>126.7</v>
      </c>
      <c r="E111" s="7" t="str">
        <f>if(C111&gt;statistics_analysis!$C$15,"high outlier",if(C111&lt;statistics_analysis!$C$14,"low outlier","normal"))</f>
        <v>normal</v>
      </c>
    </row>
    <row r="112">
      <c r="A112" s="3" t="s">
        <v>112</v>
      </c>
      <c r="B112" s="3">
        <v>2.0</v>
      </c>
      <c r="C112" s="4">
        <v>0.69</v>
      </c>
      <c r="D112" s="4">
        <v>111.6</v>
      </c>
      <c r="E112" s="7" t="str">
        <f>if(C112&gt;statistics_analysis!$C$15,"high outlier",if(C112&lt;statistics_analysis!$C$14,"low outlier","normal"))</f>
        <v>normal</v>
      </c>
    </row>
    <row r="113">
      <c r="A113" s="3" t="s">
        <v>113</v>
      </c>
      <c r="B113" s="3">
        <v>3.0</v>
      </c>
      <c r="C113" s="4">
        <v>37.03</v>
      </c>
      <c r="D113" s="4">
        <v>65.2</v>
      </c>
      <c r="E113" s="7" t="str">
        <f>if(C113&gt;statistics_analysis!$C$15,"high outlier",if(C113&lt;statistics_analysis!$C$14,"low outlier","normal"))</f>
        <v>high outlier</v>
      </c>
    </row>
    <row r="114">
      <c r="A114" s="3" t="s">
        <v>114</v>
      </c>
      <c r="B114" s="3">
        <v>5.0</v>
      </c>
      <c r="C114" s="4">
        <v>16.98</v>
      </c>
      <c r="D114" s="4">
        <v>80.6</v>
      </c>
      <c r="E114" s="7" t="str">
        <f>if(C114&gt;statistics_analysis!$C$15,"high outlier",if(C114&lt;statistics_analysis!$C$14,"low outlier","normal"))</f>
        <v>normal</v>
      </c>
    </row>
    <row r="115">
      <c r="A115" s="3" t="s">
        <v>115</v>
      </c>
      <c r="B115" s="3">
        <v>8.0</v>
      </c>
      <c r="C115" s="4">
        <v>19.14</v>
      </c>
      <c r="D115" s="4">
        <v>173.0</v>
      </c>
      <c r="E115" s="7" t="str">
        <f>if(C115&gt;statistics_analysis!$C$15,"high outlier",if(C115&lt;statistics_analysis!$C$14,"low outlier","normal"))</f>
        <v>normal</v>
      </c>
    </row>
    <row r="116">
      <c r="A116" s="3" t="s">
        <v>116</v>
      </c>
      <c r="B116" s="3">
        <v>4.0</v>
      </c>
      <c r="C116" s="4">
        <v>27.8</v>
      </c>
      <c r="D116" s="4">
        <v>64.9</v>
      </c>
      <c r="E116" s="7" t="str">
        <f>if(C116&gt;statistics_analysis!$C$15,"high outlier",if(C116&lt;statistics_analysis!$C$14,"low outlier","normal"))</f>
        <v>normal</v>
      </c>
    </row>
    <row r="117">
      <c r="A117" s="3" t="s">
        <v>117</v>
      </c>
      <c r="B117" s="3">
        <v>3.0</v>
      </c>
      <c r="C117" s="4">
        <v>0.89</v>
      </c>
      <c r="D117" s="4">
        <v>96.5</v>
      </c>
      <c r="E117" s="7" t="str">
        <f>if(C117&gt;statistics_analysis!$C$15,"high outlier",if(C117&lt;statistics_analysis!$C$14,"low outlier","normal"))</f>
        <v>normal</v>
      </c>
    </row>
    <row r="118">
      <c r="A118" s="3" t="s">
        <v>118</v>
      </c>
      <c r="B118" s="3">
        <v>8.0</v>
      </c>
      <c r="C118" s="4">
        <v>4.87</v>
      </c>
      <c r="D118" s="4">
        <v>154.3</v>
      </c>
      <c r="E118" s="7" t="str">
        <f>if(C118&gt;statistics_analysis!$C$15,"high outlier",if(C118&lt;statistics_analysis!$C$14,"low outlier","normal"))</f>
        <v>normal</v>
      </c>
    </row>
    <row r="119">
      <c r="A119" s="3" t="s">
        <v>119</v>
      </c>
      <c r="B119" s="3">
        <v>6.0</v>
      </c>
      <c r="C119" s="4">
        <v>0.74</v>
      </c>
      <c r="D119" s="4">
        <v>126.3</v>
      </c>
      <c r="E119" s="7" t="str">
        <f>if(C119&gt;statistics_analysis!$C$15,"high outlier",if(C119&lt;statistics_analysis!$C$14,"low outlier","normal"))</f>
        <v>normal</v>
      </c>
    </row>
    <row r="120">
      <c r="A120" s="3" t="s">
        <v>120</v>
      </c>
      <c r="B120" s="3">
        <v>8.0</v>
      </c>
      <c r="C120" s="4">
        <v>2.37</v>
      </c>
      <c r="D120" s="4">
        <v>147.8</v>
      </c>
      <c r="E120" s="7" t="str">
        <f>if(C120&gt;statistics_analysis!$C$15,"high outlier",if(C120&lt;statistics_analysis!$C$14,"low outlier","normal"))</f>
        <v>normal</v>
      </c>
    </row>
    <row r="121">
      <c r="A121" s="3" t="s">
        <v>121</v>
      </c>
      <c r="B121" s="3">
        <v>3.0</v>
      </c>
      <c r="C121" s="4">
        <v>2.61</v>
      </c>
      <c r="D121" s="4">
        <v>136.3</v>
      </c>
      <c r="E121" s="7" t="str">
        <f>if(C121&gt;statistics_analysis!$C$15,"high outlier",if(C121&lt;statistics_analysis!$C$14,"low outlier","normal"))</f>
        <v>normal</v>
      </c>
    </row>
    <row r="122">
      <c r="A122" s="3" t="s">
        <v>122</v>
      </c>
      <c r="B122" s="3">
        <v>3.0</v>
      </c>
      <c r="C122" s="4">
        <v>6.33</v>
      </c>
      <c r="D122" s="4">
        <v>164.1</v>
      </c>
      <c r="E122" s="7" t="str">
        <f>if(C122&gt;statistics_analysis!$C$15,"high outlier",if(C122&lt;statistics_analysis!$C$14,"low outlier","normal"))</f>
        <v>normal</v>
      </c>
    </row>
    <row r="123">
      <c r="A123" s="3" t="s">
        <v>123</v>
      </c>
      <c r="B123" s="3">
        <v>5.0</v>
      </c>
      <c r="C123" s="4">
        <v>3.13</v>
      </c>
      <c r="D123" s="4">
        <v>128.9</v>
      </c>
      <c r="E123" s="7" t="str">
        <f>if(C123&gt;statistics_analysis!$C$15,"high outlier",if(C123&lt;statistics_analysis!$C$14,"low outlier","normal"))</f>
        <v>normal</v>
      </c>
    </row>
    <row r="124">
      <c r="A124" s="3" t="s">
        <v>124</v>
      </c>
      <c r="B124" s="3">
        <v>11.0</v>
      </c>
      <c r="C124" s="4">
        <v>1.06</v>
      </c>
      <c r="D124" s="4">
        <v>139.9</v>
      </c>
      <c r="E124" s="7" t="str">
        <f>if(C124&gt;statistics_analysis!$C$15,"high outlier",if(C124&lt;statistics_analysis!$C$14,"low outlier","normal"))</f>
        <v>normal</v>
      </c>
    </row>
    <row r="125">
      <c r="A125" s="3" t="s">
        <v>125</v>
      </c>
      <c r="B125" s="3">
        <v>7.0</v>
      </c>
      <c r="C125" s="4">
        <v>1.83</v>
      </c>
      <c r="D125" s="4">
        <v>98.3</v>
      </c>
      <c r="E125" s="7" t="str">
        <f>if(C125&gt;statistics_analysis!$C$15,"high outlier",if(C125&lt;statistics_analysis!$C$14,"low outlier","normal"))</f>
        <v>normal</v>
      </c>
    </row>
    <row r="126">
      <c r="A126" s="3" t="s">
        <v>126</v>
      </c>
      <c r="B126" s="3">
        <v>4.0</v>
      </c>
      <c r="C126" s="4">
        <v>1.59</v>
      </c>
      <c r="D126" s="4">
        <v>137.6</v>
      </c>
      <c r="E126" s="7" t="str">
        <f>if(C126&gt;statistics_analysis!$C$15,"high outlier",if(C126&lt;statistics_analysis!$C$14,"low outlier","normal"))</f>
        <v>normal</v>
      </c>
    </row>
    <row r="127">
      <c r="A127" s="3" t="s">
        <v>127</v>
      </c>
      <c r="B127" s="3">
        <v>3.0</v>
      </c>
      <c r="C127" s="4">
        <v>36.15</v>
      </c>
      <c r="D127" s="4">
        <v>108.1</v>
      </c>
      <c r="E127" s="7" t="str">
        <f>if(C127&gt;statistics_analysis!$C$15,"high outlier",if(C127&lt;statistics_analysis!$C$14,"low outlier","normal"))</f>
        <v>high outlier</v>
      </c>
    </row>
    <row r="128">
      <c r="A128" s="3" t="s">
        <v>128</v>
      </c>
      <c r="B128" s="3">
        <v>8.0</v>
      </c>
      <c r="C128" s="4">
        <v>14.24</v>
      </c>
      <c r="D128" s="4">
        <v>106.4</v>
      </c>
      <c r="E128" s="7" t="str">
        <f>if(C128&gt;statistics_analysis!$C$15,"high outlier",if(C128&lt;statistics_analysis!$C$14,"low outlier","normal"))</f>
        <v>normal</v>
      </c>
    </row>
    <row r="129">
      <c r="A129" s="3" t="s">
        <v>129</v>
      </c>
      <c r="B129" s="3">
        <v>8.0</v>
      </c>
      <c r="C129" s="4">
        <v>34.35</v>
      </c>
      <c r="D129" s="4">
        <v>146.8</v>
      </c>
      <c r="E129" s="7" t="str">
        <f>if(C129&gt;statistics_analysis!$C$15,"high outlier",if(C129&lt;statistics_analysis!$C$14,"low outlier","normal"))</f>
        <v>high outlier</v>
      </c>
    </row>
    <row r="130">
      <c r="A130" s="3" t="s">
        <v>130</v>
      </c>
      <c r="B130" s="3">
        <v>3.0</v>
      </c>
      <c r="C130" s="4">
        <v>5.79</v>
      </c>
      <c r="D130" s="4">
        <v>147.0</v>
      </c>
      <c r="E130" s="7" t="str">
        <f>if(C130&gt;statistics_analysis!$C$15,"high outlier",if(C130&lt;statistics_analysis!$C$14,"low outlier","normal"))</f>
        <v>normal</v>
      </c>
    </row>
    <row r="131">
      <c r="A131" s="3" t="s">
        <v>131</v>
      </c>
      <c r="B131" s="3">
        <v>3.0</v>
      </c>
      <c r="C131" s="4">
        <v>3.26</v>
      </c>
      <c r="D131" s="4">
        <v>170.7</v>
      </c>
      <c r="E131" s="7" t="str">
        <f>if(C131&gt;statistics_analysis!$C$15,"high outlier",if(C131&lt;statistics_analysis!$C$14,"low outlier","normal"))</f>
        <v>normal</v>
      </c>
    </row>
    <row r="132">
      <c r="A132" s="3" t="s">
        <v>132</v>
      </c>
      <c r="B132" s="3">
        <v>6.0</v>
      </c>
      <c r="C132" s="4">
        <v>16.01</v>
      </c>
      <c r="D132" s="4">
        <v>168.7</v>
      </c>
      <c r="E132" s="7" t="str">
        <f>if(C132&gt;statistics_analysis!$C$15,"high outlier",if(C132&lt;statistics_analysis!$C$14,"low outlier","normal"))</f>
        <v>normal</v>
      </c>
    </row>
    <row r="133">
      <c r="A133" s="3" t="s">
        <v>133</v>
      </c>
      <c r="B133" s="3">
        <v>2.0</v>
      </c>
      <c r="C133" s="4">
        <v>3.95</v>
      </c>
      <c r="D133" s="4">
        <v>147.5</v>
      </c>
      <c r="E133" s="7" t="str">
        <f>if(C133&gt;statistics_analysis!$C$15,"high outlier",if(C133&lt;statistics_analysis!$C$14,"low outlier","normal"))</f>
        <v>normal</v>
      </c>
    </row>
    <row r="134">
      <c r="A134" s="3" t="s">
        <v>134</v>
      </c>
      <c r="B134" s="3">
        <v>7.0</v>
      </c>
      <c r="C134" s="4">
        <v>3.56</v>
      </c>
      <c r="D134" s="4">
        <v>68.4</v>
      </c>
      <c r="E134" s="7" t="str">
        <f>if(C134&gt;statistics_analysis!$C$15,"high outlier",if(C134&lt;statistics_analysis!$C$14,"low outlier","normal"))</f>
        <v>normal</v>
      </c>
    </row>
    <row r="135">
      <c r="A135" s="3" t="s">
        <v>135</v>
      </c>
      <c r="B135" s="3">
        <v>5.0</v>
      </c>
      <c r="C135" s="4">
        <v>2.65</v>
      </c>
      <c r="D135" s="4">
        <v>174.8</v>
      </c>
      <c r="E135" s="7" t="str">
        <f>if(C135&gt;statistics_analysis!$C$15,"high outlier",if(C135&lt;statistics_analysis!$C$14,"low outlier","normal"))</f>
        <v>normal</v>
      </c>
    </row>
    <row r="136">
      <c r="A136" s="3" t="s">
        <v>136</v>
      </c>
      <c r="B136" s="3">
        <v>5.0</v>
      </c>
      <c r="C136" s="4">
        <v>1.39</v>
      </c>
      <c r="D136" s="4">
        <v>147.5</v>
      </c>
      <c r="E136" s="7" t="str">
        <f>if(C136&gt;statistics_analysis!$C$15,"high outlier",if(C136&lt;statistics_analysis!$C$14,"low outlier","normal"))</f>
        <v>normal</v>
      </c>
    </row>
    <row r="137">
      <c r="A137" s="3" t="s">
        <v>137</v>
      </c>
      <c r="B137" s="3">
        <v>6.0</v>
      </c>
      <c r="C137" s="4">
        <v>2.96</v>
      </c>
      <c r="D137" s="4">
        <v>97.0</v>
      </c>
      <c r="E137" s="7" t="str">
        <f>if(C137&gt;statistics_analysis!$C$15,"high outlier",if(C137&lt;statistics_analysis!$C$14,"low outlier","normal"))</f>
        <v>normal</v>
      </c>
    </row>
    <row r="138">
      <c r="A138" s="3" t="s">
        <v>138</v>
      </c>
      <c r="B138" s="3">
        <v>1.0</v>
      </c>
      <c r="C138" s="4">
        <v>4.39</v>
      </c>
      <c r="D138" s="4">
        <v>141.9</v>
      </c>
      <c r="E138" s="7" t="str">
        <f>if(C138&gt;statistics_analysis!$C$15,"high outlier",if(C138&lt;statistics_analysis!$C$14,"low outlier","normal"))</f>
        <v>normal</v>
      </c>
    </row>
    <row r="139">
      <c r="A139" s="3" t="s">
        <v>139</v>
      </c>
      <c r="B139" s="3">
        <v>10.0</v>
      </c>
      <c r="C139" s="4">
        <v>11.21</v>
      </c>
      <c r="D139" s="4">
        <v>88.9</v>
      </c>
      <c r="E139" s="7" t="str">
        <f>if(C139&gt;statistics_analysis!$C$15,"high outlier",if(C139&lt;statistics_analysis!$C$14,"low outlier","normal"))</f>
        <v>normal</v>
      </c>
    </row>
    <row r="140">
      <c r="A140" s="3" t="s">
        <v>140</v>
      </c>
      <c r="B140" s="3">
        <v>2.0</v>
      </c>
      <c r="C140" s="4">
        <v>0.65</v>
      </c>
      <c r="D140" s="4">
        <v>138.6</v>
      </c>
      <c r="E140" s="7" t="str">
        <f>if(C140&gt;statistics_analysis!$C$15,"high outlier",if(C140&lt;statistics_analysis!$C$14,"low outlier","normal"))</f>
        <v>normal</v>
      </c>
    </row>
    <row r="141">
      <c r="A141" s="3">
        <v>4.2213759E7</v>
      </c>
      <c r="B141" s="3">
        <v>5.0</v>
      </c>
      <c r="C141" s="4">
        <v>2.36</v>
      </c>
      <c r="D141" s="4">
        <v>80.5</v>
      </c>
      <c r="E141" s="7" t="str">
        <f>if(C141&gt;statistics_analysis!$C$15,"high outlier",if(C141&lt;statistics_analysis!$C$14,"low outlier","normal"))</f>
        <v>normal</v>
      </c>
    </row>
    <row r="142">
      <c r="A142" s="3" t="s">
        <v>141</v>
      </c>
      <c r="B142" s="3">
        <v>4.0</v>
      </c>
      <c r="C142" s="4">
        <v>16.56</v>
      </c>
      <c r="D142" s="4">
        <v>95.8</v>
      </c>
      <c r="E142" s="7" t="str">
        <f>if(C142&gt;statistics_analysis!$C$15,"high outlier",if(C142&lt;statistics_analysis!$C$14,"low outlier","normal"))</f>
        <v>normal</v>
      </c>
    </row>
    <row r="143">
      <c r="A143" s="3" t="s">
        <v>142</v>
      </c>
      <c r="B143" s="3">
        <v>5.0</v>
      </c>
      <c r="C143" s="4">
        <v>1.59</v>
      </c>
      <c r="D143" s="4">
        <v>141.3</v>
      </c>
      <c r="E143" s="7" t="str">
        <f>if(C143&gt;statistics_analysis!$C$15,"high outlier",if(C143&lt;statistics_analysis!$C$14,"low outlier","normal"))</f>
        <v>normal</v>
      </c>
    </row>
    <row r="144">
      <c r="A144" s="3" t="s">
        <v>143</v>
      </c>
      <c r="B144" s="3">
        <v>4.0</v>
      </c>
      <c r="C144" s="4">
        <v>4.2</v>
      </c>
      <c r="D144" s="4">
        <v>152.2</v>
      </c>
      <c r="E144" s="7" t="str">
        <f>if(C144&gt;statistics_analysis!$C$15,"high outlier",if(C144&lt;statistics_analysis!$C$14,"low outlier","normal"))</f>
        <v>normal</v>
      </c>
    </row>
    <row r="145">
      <c r="A145" s="3" t="s">
        <v>144</v>
      </c>
      <c r="B145" s="3">
        <v>5.0</v>
      </c>
      <c r="C145" s="4">
        <v>20.0</v>
      </c>
      <c r="D145" s="4">
        <v>129.8</v>
      </c>
      <c r="E145" s="7" t="str">
        <f>if(C145&gt;statistics_analysis!$C$15,"high outlier",if(C145&lt;statistics_analysis!$C$14,"low outlier","normal"))</f>
        <v>normal</v>
      </c>
    </row>
    <row r="146">
      <c r="A146" s="3" t="s">
        <v>145</v>
      </c>
      <c r="B146" s="3">
        <v>6.0</v>
      </c>
      <c r="C146" s="4">
        <v>1.68</v>
      </c>
      <c r="D146" s="4">
        <v>111.4</v>
      </c>
      <c r="E146" s="7" t="str">
        <f>if(C146&gt;statistics_analysis!$C$15,"high outlier",if(C146&lt;statistics_analysis!$C$14,"low outlier","normal"))</f>
        <v>normal</v>
      </c>
    </row>
    <row r="147">
      <c r="A147" s="3" t="s">
        <v>146</v>
      </c>
      <c r="B147" s="3">
        <v>1.0</v>
      </c>
      <c r="C147" s="4">
        <v>0.86</v>
      </c>
      <c r="D147" s="4">
        <v>56.6</v>
      </c>
      <c r="E147" s="7" t="str">
        <f>if(C147&gt;statistics_analysis!$C$15,"high outlier",if(C147&lt;statistics_analysis!$C$14,"low outlier","normal"))</f>
        <v>normal</v>
      </c>
    </row>
    <row r="148">
      <c r="A148" s="3" t="s">
        <v>147</v>
      </c>
      <c r="B148" s="3">
        <v>3.0</v>
      </c>
      <c r="C148" s="4">
        <v>6.63</v>
      </c>
      <c r="D148" s="4">
        <v>113.7</v>
      </c>
      <c r="E148" s="7" t="str">
        <f>if(C148&gt;statistics_analysis!$C$15,"high outlier",if(C148&lt;statistics_analysis!$C$14,"low outlier","normal"))</f>
        <v>normal</v>
      </c>
    </row>
    <row r="149">
      <c r="A149" s="3" t="s">
        <v>148</v>
      </c>
      <c r="B149" s="3">
        <v>2.0</v>
      </c>
      <c r="C149" s="4">
        <v>3.6</v>
      </c>
      <c r="D149" s="4">
        <v>136.0</v>
      </c>
      <c r="E149" s="7" t="str">
        <f>if(C149&gt;statistics_analysis!$C$15,"high outlier",if(C149&lt;statistics_analysis!$C$14,"low outlier","normal"))</f>
        <v>normal</v>
      </c>
    </row>
    <row r="150">
      <c r="A150" s="3" t="s">
        <v>149</v>
      </c>
      <c r="B150" s="3">
        <v>5.0</v>
      </c>
      <c r="C150" s="4">
        <v>8.29</v>
      </c>
      <c r="D150" s="4">
        <v>110.5</v>
      </c>
      <c r="E150" s="7" t="str">
        <f>if(C150&gt;statistics_analysis!$C$15,"high outlier",if(C150&lt;statistics_analysis!$C$14,"low outlier","normal"))</f>
        <v>normal</v>
      </c>
    </row>
    <row r="151">
      <c r="A151" s="3" t="s">
        <v>150</v>
      </c>
      <c r="B151" s="3">
        <v>4.0</v>
      </c>
      <c r="C151" s="4">
        <v>16.29</v>
      </c>
      <c r="D151" s="4">
        <v>119.3</v>
      </c>
      <c r="E151" s="7" t="str">
        <f>if(C151&gt;statistics_analysis!$C$15,"high outlier",if(C151&lt;statistics_analysis!$C$14,"low outlier","normal"))</f>
        <v>normal</v>
      </c>
    </row>
    <row r="152">
      <c r="A152" s="3" t="s">
        <v>151</v>
      </c>
      <c r="B152" s="3">
        <v>7.0</v>
      </c>
      <c r="C152" s="4">
        <v>1.48</v>
      </c>
      <c r="D152" s="4">
        <v>114.4</v>
      </c>
      <c r="E152" s="7" t="str">
        <f>if(C152&gt;statistics_analysis!$C$15,"high outlier",if(C152&lt;statistics_analysis!$C$14,"low outlier","normal"))</f>
        <v>normal</v>
      </c>
    </row>
    <row r="153">
      <c r="A153" s="3" t="s">
        <v>152</v>
      </c>
      <c r="B153" s="3">
        <v>7.0</v>
      </c>
      <c r="C153" s="4">
        <v>8.69</v>
      </c>
      <c r="D153" s="4">
        <v>110.3</v>
      </c>
      <c r="E153" s="7" t="str">
        <f>if(C153&gt;statistics_analysis!$C$15,"high outlier",if(C153&lt;statistics_analysis!$C$14,"low outlier","normal"))</f>
        <v>normal</v>
      </c>
    </row>
    <row r="154">
      <c r="A154" s="3" t="s">
        <v>153</v>
      </c>
      <c r="B154" s="3">
        <v>2.0</v>
      </c>
      <c r="C154" s="4">
        <v>7.04</v>
      </c>
      <c r="D154" s="4">
        <v>122.3</v>
      </c>
      <c r="E154" s="7" t="str">
        <f>if(C154&gt;statistics_analysis!$C$15,"high outlier",if(C154&lt;statistics_analysis!$C$14,"low outlier","normal"))</f>
        <v>normal</v>
      </c>
    </row>
    <row r="155">
      <c r="A155" s="3" t="s">
        <v>154</v>
      </c>
      <c r="B155" s="3">
        <v>6.0</v>
      </c>
      <c r="C155" s="4">
        <v>1.56</v>
      </c>
      <c r="D155" s="4">
        <v>111.8</v>
      </c>
      <c r="E155" s="7" t="str">
        <f>if(C155&gt;statistics_analysis!$C$15,"high outlier",if(C155&lt;statistics_analysis!$C$14,"low outlier","normal"))</f>
        <v>normal</v>
      </c>
    </row>
    <row r="156">
      <c r="A156" s="3" t="s">
        <v>155</v>
      </c>
      <c r="B156" s="3">
        <v>7.0</v>
      </c>
      <c r="C156" s="4">
        <v>9.78</v>
      </c>
      <c r="D156" s="4">
        <v>163.3</v>
      </c>
      <c r="E156" s="7" t="str">
        <f>if(C156&gt;statistics_analysis!$C$15,"high outlier",if(C156&lt;statistics_analysis!$C$14,"low outlier","normal"))</f>
        <v>normal</v>
      </c>
    </row>
    <row r="157">
      <c r="A157" s="3">
        <v>6.7465649E7</v>
      </c>
      <c r="B157" s="3">
        <v>2.0</v>
      </c>
      <c r="C157" s="4">
        <v>3.2</v>
      </c>
      <c r="D157" s="4">
        <v>53.8</v>
      </c>
      <c r="E157" s="7" t="str">
        <f>if(C157&gt;statistics_analysis!$C$15,"high outlier",if(C157&lt;statistics_analysis!$C$14,"low outlier","normal"))</f>
        <v>normal</v>
      </c>
    </row>
    <row r="158">
      <c r="A158" s="3" t="s">
        <v>156</v>
      </c>
      <c r="B158" s="3">
        <v>7.0</v>
      </c>
      <c r="C158" s="4">
        <v>6.69</v>
      </c>
      <c r="D158" s="4">
        <v>103.6</v>
      </c>
      <c r="E158" s="7" t="str">
        <f>if(C158&gt;statistics_analysis!$C$15,"high outlier",if(C158&lt;statistics_analysis!$C$14,"low outlier","normal"))</f>
        <v>normal</v>
      </c>
    </row>
    <row r="159">
      <c r="A159" s="3" t="s">
        <v>157</v>
      </c>
      <c r="B159" s="3">
        <v>5.0</v>
      </c>
      <c r="C159" s="4">
        <v>0.86</v>
      </c>
      <c r="D159" s="4">
        <v>93.9</v>
      </c>
      <c r="E159" s="7" t="str">
        <f>if(C159&gt;statistics_analysis!$C$15,"high outlier",if(C159&lt;statistics_analysis!$C$14,"low outlier","normal"))</f>
        <v>normal</v>
      </c>
    </row>
    <row r="160">
      <c r="A160" s="3" t="s">
        <v>158</v>
      </c>
      <c r="B160" s="3">
        <v>7.0</v>
      </c>
      <c r="C160" s="4">
        <v>6.15</v>
      </c>
      <c r="D160" s="4">
        <v>126.6</v>
      </c>
      <c r="E160" s="7" t="str">
        <f>if(C160&gt;statistics_analysis!$C$15,"high outlier",if(C160&lt;statistics_analysis!$C$14,"low outlier","normal"))</f>
        <v>normal</v>
      </c>
    </row>
    <row r="161">
      <c r="A161" s="3" t="s">
        <v>159</v>
      </c>
      <c r="B161" s="3">
        <v>6.0</v>
      </c>
      <c r="C161" s="4">
        <v>3.66</v>
      </c>
      <c r="D161" s="4">
        <v>122.3</v>
      </c>
      <c r="E161" s="7" t="str">
        <f>if(C161&gt;statistics_analysis!$C$15,"high outlier",if(C161&lt;statistics_analysis!$C$14,"low outlier","normal"))</f>
        <v>normal</v>
      </c>
    </row>
    <row r="162">
      <c r="A162" s="3" t="s">
        <v>160</v>
      </c>
      <c r="B162" s="3">
        <v>5.0</v>
      </c>
      <c r="C162" s="4">
        <v>17.28</v>
      </c>
      <c r="D162" s="4">
        <v>168.7</v>
      </c>
      <c r="E162" s="7" t="str">
        <f>if(C162&gt;statistics_analysis!$C$15,"high outlier",if(C162&lt;statistics_analysis!$C$14,"low outlier","normal"))</f>
        <v>normal</v>
      </c>
    </row>
    <row r="163">
      <c r="A163" s="3" t="s">
        <v>161</v>
      </c>
      <c r="B163" s="3">
        <v>6.0</v>
      </c>
      <c r="C163" s="4">
        <v>0.59</v>
      </c>
      <c r="D163" s="4">
        <v>178.5</v>
      </c>
      <c r="E163" s="7" t="str">
        <f>if(C163&gt;statistics_analysis!$C$15,"high outlier",if(C163&lt;statistics_analysis!$C$14,"low outlier","normal"))</f>
        <v>normal</v>
      </c>
    </row>
    <row r="164">
      <c r="A164" s="3" t="s">
        <v>162</v>
      </c>
      <c r="B164" s="3">
        <v>5.0</v>
      </c>
      <c r="C164" s="4">
        <v>5.42</v>
      </c>
      <c r="D164" s="4">
        <v>96.8</v>
      </c>
      <c r="E164" s="7" t="str">
        <f>if(C164&gt;statistics_analysis!$C$15,"high outlier",if(C164&lt;statistics_analysis!$C$14,"low outlier","normal"))</f>
        <v>normal</v>
      </c>
    </row>
    <row r="165">
      <c r="A165" s="3" t="s">
        <v>163</v>
      </c>
      <c r="B165" s="3">
        <v>4.0</v>
      </c>
      <c r="C165" s="4">
        <v>6.13</v>
      </c>
      <c r="D165" s="4">
        <v>120.0</v>
      </c>
      <c r="E165" s="7" t="str">
        <f>if(C165&gt;statistics_analysis!$C$15,"high outlier",if(C165&lt;statistics_analysis!$C$14,"low outlier","normal"))</f>
        <v>normal</v>
      </c>
    </row>
    <row r="166">
      <c r="A166" s="3" t="s">
        <v>164</v>
      </c>
      <c r="B166" s="3">
        <v>7.0</v>
      </c>
      <c r="C166" s="4">
        <v>12.91</v>
      </c>
      <c r="D166" s="4">
        <v>125.9</v>
      </c>
      <c r="E166" s="7" t="str">
        <f>if(C166&gt;statistics_analysis!$C$15,"high outlier",if(C166&lt;statistics_analysis!$C$14,"low outlier","normal"))</f>
        <v>normal</v>
      </c>
    </row>
    <row r="167">
      <c r="A167" s="3" t="s">
        <v>165</v>
      </c>
      <c r="B167" s="3">
        <v>1.0</v>
      </c>
      <c r="C167" s="4">
        <v>8.54</v>
      </c>
      <c r="D167" s="4">
        <v>96.1</v>
      </c>
      <c r="E167" s="7" t="str">
        <f>if(C167&gt;statistics_analysis!$C$15,"high outlier",if(C167&lt;statistics_analysis!$C$14,"low outlier","normal"))</f>
        <v>normal</v>
      </c>
    </row>
    <row r="168">
      <c r="A168" s="3" t="s">
        <v>166</v>
      </c>
      <c r="B168" s="3">
        <v>8.0</v>
      </c>
      <c r="C168" s="4">
        <v>11.0</v>
      </c>
      <c r="D168" s="4">
        <v>138.9</v>
      </c>
      <c r="E168" s="7" t="str">
        <f>if(C168&gt;statistics_analysis!$C$15,"high outlier",if(C168&lt;statistics_analysis!$C$14,"low outlier","normal"))</f>
        <v>normal</v>
      </c>
    </row>
    <row r="169">
      <c r="A169" s="3" t="s">
        <v>167</v>
      </c>
      <c r="B169" s="3">
        <v>4.0</v>
      </c>
      <c r="C169" s="4">
        <v>15.01</v>
      </c>
      <c r="D169" s="4">
        <v>112.8</v>
      </c>
      <c r="E169" s="7" t="str">
        <f>if(C169&gt;statistics_analysis!$C$15,"high outlier",if(C169&lt;statistics_analysis!$C$14,"low outlier","normal"))</f>
        <v>normal</v>
      </c>
    </row>
    <row r="170">
      <c r="A170" s="3" t="s">
        <v>168</v>
      </c>
      <c r="B170" s="3">
        <v>5.0</v>
      </c>
      <c r="C170" s="4">
        <v>19.82</v>
      </c>
      <c r="D170" s="4">
        <v>88.0</v>
      </c>
      <c r="E170" s="7" t="str">
        <f>if(C170&gt;statistics_analysis!$C$15,"high outlier",if(C170&lt;statistics_analysis!$C$14,"low outlier","normal"))</f>
        <v>normal</v>
      </c>
    </row>
    <row r="171">
      <c r="A171" s="3" t="s">
        <v>169</v>
      </c>
      <c r="B171" s="3">
        <v>3.0</v>
      </c>
      <c r="C171" s="4">
        <v>3.77</v>
      </c>
      <c r="D171" s="4">
        <v>111.6</v>
      </c>
      <c r="E171" s="7" t="str">
        <f>if(C171&gt;statistics_analysis!$C$15,"high outlier",if(C171&lt;statistics_analysis!$C$14,"low outlier","normal"))</f>
        <v>normal</v>
      </c>
    </row>
    <row r="172">
      <c r="A172" s="3">
        <v>7205854.0</v>
      </c>
      <c r="B172" s="3">
        <v>7.0</v>
      </c>
      <c r="C172" s="4">
        <v>7.72</v>
      </c>
      <c r="D172" s="4">
        <v>90.1</v>
      </c>
      <c r="E172" s="7" t="str">
        <f>if(C172&gt;statistics_analysis!$C$15,"high outlier",if(C172&lt;statistics_analysis!$C$14,"low outlier","normal"))</f>
        <v>normal</v>
      </c>
    </row>
    <row r="173">
      <c r="A173" s="3" t="s">
        <v>170</v>
      </c>
      <c r="B173" s="3">
        <v>2.0</v>
      </c>
      <c r="C173" s="4">
        <v>18.33</v>
      </c>
      <c r="D173" s="4">
        <v>151.1</v>
      </c>
      <c r="E173" s="7" t="str">
        <f>if(C173&gt;statistics_analysis!$C$15,"high outlier",if(C173&lt;statistics_analysis!$C$14,"low outlier","normal"))</f>
        <v>normal</v>
      </c>
    </row>
    <row r="174">
      <c r="A174" s="3" t="s">
        <v>171</v>
      </c>
      <c r="B174" s="3">
        <v>5.0</v>
      </c>
      <c r="C174" s="4">
        <v>45.52</v>
      </c>
      <c r="D174" s="4">
        <v>177.0</v>
      </c>
      <c r="E174" s="7" t="str">
        <f>if(C174&gt;statistics_analysis!$C$15,"high outlier",if(C174&lt;statistics_analysis!$C$14,"low outlier","normal"))</f>
        <v>high outlier</v>
      </c>
    </row>
    <row r="175">
      <c r="A175" s="3" t="s">
        <v>172</v>
      </c>
      <c r="B175" s="3">
        <v>10.0</v>
      </c>
      <c r="C175" s="4">
        <v>22.03</v>
      </c>
      <c r="D175" s="4">
        <v>127.3</v>
      </c>
      <c r="E175" s="7" t="str">
        <f>if(C175&gt;statistics_analysis!$C$15,"high outlier",if(C175&lt;statistics_analysis!$C$14,"low outlier","normal"))</f>
        <v>normal</v>
      </c>
    </row>
    <row r="176">
      <c r="A176" s="3" t="s">
        <v>173</v>
      </c>
      <c r="B176" s="3">
        <v>7.0</v>
      </c>
      <c r="C176" s="4">
        <v>4.64</v>
      </c>
      <c r="D176" s="4">
        <v>123.3</v>
      </c>
      <c r="E176" s="7" t="str">
        <f>if(C176&gt;statistics_analysis!$C$15,"high outlier",if(C176&lt;statistics_analysis!$C$14,"low outlier","normal"))</f>
        <v>normal</v>
      </c>
    </row>
    <row r="177">
      <c r="A177" s="3" t="s">
        <v>174</v>
      </c>
      <c r="B177" s="3">
        <v>7.0</v>
      </c>
      <c r="C177" s="4">
        <v>2.17</v>
      </c>
      <c r="D177" s="4">
        <v>124.6</v>
      </c>
      <c r="E177" s="7" t="str">
        <f>if(C177&gt;statistics_analysis!$C$15,"high outlier",if(C177&lt;statistics_analysis!$C$14,"low outlier","normal"))</f>
        <v>normal</v>
      </c>
    </row>
    <row r="178">
      <c r="A178" s="3" t="s">
        <v>175</v>
      </c>
      <c r="B178" s="3">
        <v>10.0</v>
      </c>
      <c r="C178" s="4">
        <v>6.72</v>
      </c>
      <c r="D178" s="4">
        <v>155.5</v>
      </c>
      <c r="E178" s="7" t="str">
        <f>if(C178&gt;statistics_analysis!$C$15,"high outlier",if(C178&lt;statistics_analysis!$C$14,"low outlier","normal"))</f>
        <v>normal</v>
      </c>
    </row>
    <row r="179">
      <c r="A179" s="3" t="s">
        <v>176</v>
      </c>
      <c r="B179" s="3">
        <v>1.0</v>
      </c>
      <c r="C179" s="4">
        <v>13.53</v>
      </c>
      <c r="D179" s="4">
        <v>154.8</v>
      </c>
      <c r="E179" s="7" t="str">
        <f>if(C179&gt;statistics_analysis!$C$15,"high outlier",if(C179&lt;statistics_analysis!$C$14,"low outlier","normal"))</f>
        <v>normal</v>
      </c>
    </row>
    <row r="180">
      <c r="A180" s="3" t="s">
        <v>177</v>
      </c>
      <c r="B180" s="3">
        <v>5.0</v>
      </c>
      <c r="C180" s="4">
        <v>6.78</v>
      </c>
      <c r="D180" s="4">
        <v>116.5</v>
      </c>
      <c r="E180" s="7" t="str">
        <f>if(C180&gt;statistics_analysis!$C$15,"high outlier",if(C180&lt;statistics_analysis!$C$14,"low outlier","normal"))</f>
        <v>normal</v>
      </c>
    </row>
    <row r="181">
      <c r="A181" s="3" t="s">
        <v>178</v>
      </c>
      <c r="B181" s="3">
        <v>3.0</v>
      </c>
      <c r="C181" s="4">
        <v>6.6</v>
      </c>
      <c r="D181" s="4">
        <v>127.6</v>
      </c>
      <c r="E181" s="7" t="str">
        <f>if(C181&gt;statistics_analysis!$C$15,"high outlier",if(C181&lt;statistics_analysis!$C$14,"low outlier","normal"))</f>
        <v>normal</v>
      </c>
    </row>
    <row r="182">
      <c r="A182" s="3" t="s">
        <v>179</v>
      </c>
      <c r="B182" s="3">
        <v>8.0</v>
      </c>
      <c r="C182" s="4">
        <v>18.22</v>
      </c>
      <c r="D182" s="4">
        <v>139.6</v>
      </c>
      <c r="E182" s="7" t="str">
        <f>if(C182&gt;statistics_analysis!$C$15,"high outlier",if(C182&lt;statistics_analysis!$C$14,"low outlier","normal"))</f>
        <v>normal</v>
      </c>
    </row>
    <row r="183">
      <c r="A183" s="3" t="s">
        <v>180</v>
      </c>
      <c r="B183" s="3">
        <v>7.0</v>
      </c>
      <c r="C183" s="4">
        <v>4.48</v>
      </c>
      <c r="D183" s="4">
        <v>85.9</v>
      </c>
      <c r="E183" s="7" t="str">
        <f>if(C183&gt;statistics_analysis!$C$15,"high outlier",if(C183&lt;statistics_analysis!$C$14,"low outlier","normal"))</f>
        <v>normal</v>
      </c>
    </row>
    <row r="184">
      <c r="A184" s="3" t="s">
        <v>181</v>
      </c>
      <c r="B184" s="3">
        <v>3.0</v>
      </c>
      <c r="C184" s="4">
        <v>19.65</v>
      </c>
      <c r="D184" s="4">
        <v>156.4</v>
      </c>
      <c r="E184" s="7" t="str">
        <f>if(C184&gt;statistics_analysis!$C$15,"high outlier",if(C184&lt;statistics_analysis!$C$14,"low outlier","normal"))</f>
        <v>normal</v>
      </c>
    </row>
    <row r="185">
      <c r="A185" s="3" t="s">
        <v>182</v>
      </c>
      <c r="B185" s="3">
        <v>1.0</v>
      </c>
      <c r="C185" s="4">
        <v>5.22</v>
      </c>
      <c r="D185" s="4">
        <v>172.0</v>
      </c>
      <c r="E185" s="7" t="str">
        <f>if(C185&gt;statistics_analysis!$C$15,"high outlier",if(C185&lt;statistics_analysis!$C$14,"low outlier","normal"))</f>
        <v>normal</v>
      </c>
    </row>
    <row r="186">
      <c r="A186" s="3" t="s">
        <v>183</v>
      </c>
      <c r="B186" s="3">
        <v>5.0</v>
      </c>
      <c r="C186" s="4">
        <v>3.98</v>
      </c>
      <c r="D186" s="4">
        <v>155.0</v>
      </c>
      <c r="E186" s="7" t="str">
        <f>if(C186&gt;statistics_analysis!$C$15,"high outlier",if(C186&lt;statistics_analysis!$C$14,"low outlier","normal"))</f>
        <v>normal</v>
      </c>
    </row>
    <row r="187">
      <c r="A187" s="3" t="s">
        <v>184</v>
      </c>
      <c r="B187" s="3">
        <v>3.0</v>
      </c>
      <c r="C187" s="4">
        <v>6.05</v>
      </c>
      <c r="D187" s="4">
        <v>82.6</v>
      </c>
      <c r="E187" s="7" t="str">
        <f>if(C187&gt;statistics_analysis!$C$15,"high outlier",if(C187&lt;statistics_analysis!$C$14,"low outlier","normal"))</f>
        <v>normal</v>
      </c>
    </row>
    <row r="188">
      <c r="A188" s="3" t="s">
        <v>185</v>
      </c>
      <c r="B188" s="3">
        <v>6.0</v>
      </c>
      <c r="C188" s="4">
        <v>14.37</v>
      </c>
      <c r="D188" s="4">
        <v>60.9</v>
      </c>
      <c r="E188" s="7" t="str">
        <f>if(C188&gt;statistics_analysis!$C$15,"high outlier",if(C188&lt;statistics_analysis!$C$14,"low outlier","normal"))</f>
        <v>normal</v>
      </c>
    </row>
    <row r="189">
      <c r="A189" s="3" t="s">
        <v>186</v>
      </c>
      <c r="B189" s="3">
        <v>3.0</v>
      </c>
      <c r="C189" s="4">
        <v>1.35</v>
      </c>
      <c r="D189" s="4">
        <v>141.3</v>
      </c>
      <c r="E189" s="7" t="str">
        <f>if(C189&gt;statistics_analysis!$C$15,"high outlier",if(C189&lt;statistics_analysis!$C$14,"low outlier","normal"))</f>
        <v>normal</v>
      </c>
    </row>
    <row r="190">
      <c r="A190" s="3" t="s">
        <v>187</v>
      </c>
      <c r="B190" s="3">
        <v>4.0</v>
      </c>
      <c r="C190" s="4">
        <v>2.19</v>
      </c>
      <c r="D190" s="4">
        <v>97.2</v>
      </c>
      <c r="E190" s="7" t="str">
        <f>if(C190&gt;statistics_analysis!$C$15,"high outlier",if(C190&lt;statistics_analysis!$C$14,"low outlier","normal"))</f>
        <v>normal</v>
      </c>
    </row>
    <row r="191">
      <c r="A191" s="3" t="s">
        <v>188</v>
      </c>
      <c r="B191" s="3">
        <v>5.0</v>
      </c>
      <c r="C191" s="4">
        <v>30.25</v>
      </c>
      <c r="D191" s="4">
        <v>128.6</v>
      </c>
      <c r="E191" s="7" t="str">
        <f>if(C191&gt;statistics_analysis!$C$15,"high outlier",if(C191&lt;statistics_analysis!$C$14,"low outlier","normal"))</f>
        <v>normal</v>
      </c>
    </row>
    <row r="192">
      <c r="A192" s="3" t="s">
        <v>189</v>
      </c>
      <c r="B192" s="3">
        <v>8.0</v>
      </c>
      <c r="C192" s="4">
        <v>1.93</v>
      </c>
      <c r="D192" s="4">
        <v>166.1</v>
      </c>
      <c r="E192" s="7" t="str">
        <f>if(C192&gt;statistics_analysis!$C$15,"high outlier",if(C192&lt;statistics_analysis!$C$14,"low outlier","normal"))</f>
        <v>normal</v>
      </c>
    </row>
    <row r="193">
      <c r="A193" s="3" t="s">
        <v>190</v>
      </c>
      <c r="B193" s="3">
        <v>7.0</v>
      </c>
      <c r="C193" s="4">
        <v>8.39</v>
      </c>
      <c r="D193" s="4">
        <v>100.3</v>
      </c>
      <c r="E193" s="7" t="str">
        <f>if(C193&gt;statistics_analysis!$C$15,"high outlier",if(C193&lt;statistics_analysis!$C$14,"low outlier","normal"))</f>
        <v>normal</v>
      </c>
    </row>
    <row r="194">
      <c r="A194" s="3" t="s">
        <v>191</v>
      </c>
      <c r="B194" s="3">
        <v>5.0</v>
      </c>
      <c r="C194" s="4">
        <v>8.66</v>
      </c>
      <c r="D194" s="4">
        <v>108.7</v>
      </c>
      <c r="E194" s="7" t="str">
        <f>if(C194&gt;statistics_analysis!$C$15,"high outlier",if(C194&lt;statistics_analysis!$C$14,"low outlier","normal"))</f>
        <v>normal</v>
      </c>
    </row>
    <row r="195">
      <c r="A195" s="3" t="s">
        <v>192</v>
      </c>
      <c r="B195" s="3">
        <v>4.0</v>
      </c>
      <c r="C195" s="4">
        <v>6.73</v>
      </c>
      <c r="D195" s="4">
        <v>128.3</v>
      </c>
      <c r="E195" s="7" t="str">
        <f>if(C195&gt;statistics_analysis!$C$15,"high outlier",if(C195&lt;statistics_analysis!$C$14,"low outlier","normal"))</f>
        <v>normal</v>
      </c>
    </row>
    <row r="196">
      <c r="A196" s="3" t="s">
        <v>193</v>
      </c>
      <c r="B196" s="3">
        <v>6.0</v>
      </c>
      <c r="C196" s="4">
        <v>10.35</v>
      </c>
      <c r="D196" s="4">
        <v>81.1</v>
      </c>
      <c r="E196" s="7" t="str">
        <f>if(C196&gt;statistics_analysis!$C$15,"high outlier",if(C196&lt;statistics_analysis!$C$14,"low outlier","normal"))</f>
        <v>normal</v>
      </c>
    </row>
    <row r="197">
      <c r="A197" s="3" t="s">
        <v>194</v>
      </c>
      <c r="B197" s="3">
        <v>8.0</v>
      </c>
      <c r="C197" s="4">
        <v>2.61</v>
      </c>
      <c r="D197" s="4">
        <v>97.3</v>
      </c>
      <c r="E197" s="7" t="str">
        <f>if(C197&gt;statistics_analysis!$C$15,"high outlier",if(C197&lt;statistics_analysis!$C$14,"low outlier","normal"))</f>
        <v>normal</v>
      </c>
    </row>
    <row r="198">
      <c r="A198" s="3" t="s">
        <v>195</v>
      </c>
      <c r="B198" s="3">
        <v>4.0</v>
      </c>
      <c r="C198" s="4">
        <v>8.04</v>
      </c>
      <c r="D198" s="4">
        <v>120.7</v>
      </c>
      <c r="E198" s="7" t="str">
        <f>if(C198&gt;statistics_analysis!$C$15,"high outlier",if(C198&lt;statistics_analysis!$C$14,"low outlier","normal"))</f>
        <v>normal</v>
      </c>
    </row>
    <row r="199">
      <c r="A199" s="3">
        <v>5.7756568E7</v>
      </c>
      <c r="B199" s="3">
        <v>3.0</v>
      </c>
      <c r="C199" s="4">
        <v>4.65</v>
      </c>
      <c r="D199" s="4">
        <v>111.0</v>
      </c>
      <c r="E199" s="7" t="str">
        <f>if(C199&gt;statistics_analysis!$C$15,"high outlier",if(C199&lt;statistics_analysis!$C$14,"low outlier","normal"))</f>
        <v>normal</v>
      </c>
    </row>
    <row r="200">
      <c r="A200" s="3" t="s">
        <v>196</v>
      </c>
      <c r="B200" s="3">
        <v>2.0</v>
      </c>
      <c r="C200" s="4">
        <v>10.84</v>
      </c>
      <c r="D200" s="4">
        <v>138.3</v>
      </c>
      <c r="E200" s="7" t="str">
        <f>if(C200&gt;statistics_analysis!$C$15,"high outlier",if(C200&lt;statistics_analysis!$C$14,"low outlier","normal"))</f>
        <v>normal</v>
      </c>
    </row>
    <row r="201">
      <c r="A201" s="3" t="s">
        <v>197</v>
      </c>
      <c r="B201" s="3">
        <v>3.0</v>
      </c>
      <c r="C201" s="4">
        <v>1.52</v>
      </c>
      <c r="D201" s="4">
        <v>203.0</v>
      </c>
      <c r="E201" s="7" t="str">
        <f>if(C201&gt;statistics_analysis!$C$15,"high outlier",if(C201&lt;statistics_analysis!$C$14,"low outlier","normal"))</f>
        <v>normal</v>
      </c>
    </row>
    <row r="202">
      <c r="A202" s="3" t="s">
        <v>198</v>
      </c>
      <c r="B202" s="3">
        <v>9.0</v>
      </c>
      <c r="C202" s="4">
        <v>8.46</v>
      </c>
      <c r="D202" s="4">
        <v>123.0</v>
      </c>
      <c r="E202" s="7" t="str">
        <f>if(C202&gt;statistics_analysis!$C$15,"high outlier",if(C202&lt;statistics_analysis!$C$14,"low outlier","normal"))</f>
        <v>normal</v>
      </c>
    </row>
    <row r="203">
      <c r="A203" s="3" t="s">
        <v>199</v>
      </c>
      <c r="B203" s="3">
        <v>5.0</v>
      </c>
      <c r="C203" s="4">
        <v>2.05</v>
      </c>
      <c r="D203" s="4">
        <v>94.7</v>
      </c>
      <c r="E203" s="7" t="str">
        <f>if(C203&gt;statistics_analysis!$C$15,"high outlier",if(C203&lt;statistics_analysis!$C$14,"low outlier","normal"))</f>
        <v>normal</v>
      </c>
    </row>
    <row r="204">
      <c r="A204" s="3" t="s">
        <v>200</v>
      </c>
      <c r="B204" s="3">
        <v>4.0</v>
      </c>
      <c r="C204" s="4">
        <v>3.27</v>
      </c>
      <c r="D204" s="4">
        <v>162.5</v>
      </c>
      <c r="E204" s="7" t="str">
        <f>if(C204&gt;statistics_analysis!$C$15,"high outlier",if(C204&lt;statistics_analysis!$C$14,"low outlier","normal"))</f>
        <v>normal</v>
      </c>
    </row>
    <row r="205">
      <c r="A205" s="3" t="s">
        <v>201</v>
      </c>
      <c r="B205" s="3">
        <v>7.0</v>
      </c>
      <c r="C205" s="4">
        <v>2.47</v>
      </c>
      <c r="D205" s="4">
        <v>72.3</v>
      </c>
      <c r="E205" s="7" t="str">
        <f>if(C205&gt;statistics_analysis!$C$15,"high outlier",if(C205&lt;statistics_analysis!$C$14,"low outlier","normal"))</f>
        <v>normal</v>
      </c>
    </row>
    <row r="206">
      <c r="A206" s="3" t="s">
        <v>202</v>
      </c>
      <c r="B206" s="3">
        <v>8.0</v>
      </c>
      <c r="C206" s="4">
        <v>2.02</v>
      </c>
      <c r="D206" s="4">
        <v>78.3</v>
      </c>
      <c r="E206" s="7" t="str">
        <f>if(C206&gt;statistics_analysis!$C$15,"high outlier",if(C206&lt;statistics_analysis!$C$14,"low outlier","normal"))</f>
        <v>normal</v>
      </c>
    </row>
    <row r="207">
      <c r="A207" s="3" t="s">
        <v>203</v>
      </c>
      <c r="B207" s="3">
        <v>4.0</v>
      </c>
      <c r="C207" s="4">
        <v>17.47</v>
      </c>
      <c r="D207" s="4">
        <v>102.1</v>
      </c>
      <c r="E207" s="7" t="str">
        <f>if(C207&gt;statistics_analysis!$C$15,"high outlier",if(C207&lt;statistics_analysis!$C$14,"low outlier","normal"))</f>
        <v>normal</v>
      </c>
    </row>
    <row r="208">
      <c r="A208" s="3" t="s">
        <v>204</v>
      </c>
      <c r="B208" s="3">
        <v>4.0</v>
      </c>
      <c r="C208" s="4">
        <v>3.36</v>
      </c>
      <c r="D208" s="4">
        <v>111.5</v>
      </c>
      <c r="E208" s="7" t="str">
        <f>if(C208&gt;statistics_analysis!$C$15,"high outlier",if(C208&lt;statistics_analysis!$C$14,"low outlier","normal"))</f>
        <v>normal</v>
      </c>
    </row>
    <row r="209">
      <c r="A209" s="3" t="s">
        <v>205</v>
      </c>
      <c r="B209" s="3">
        <v>8.0</v>
      </c>
      <c r="C209" s="4">
        <v>26.19</v>
      </c>
      <c r="D209" s="4">
        <v>101.4</v>
      </c>
      <c r="E209" s="7" t="str">
        <f>if(C209&gt;statistics_analysis!$C$15,"high outlier",if(C209&lt;statistics_analysis!$C$14,"low outlier","normal"))</f>
        <v>normal</v>
      </c>
    </row>
    <row r="210">
      <c r="A210" s="3" t="s">
        <v>206</v>
      </c>
      <c r="B210" s="3">
        <v>5.0</v>
      </c>
      <c r="C210" s="4">
        <v>35.04</v>
      </c>
      <c r="D210" s="4">
        <v>119.1</v>
      </c>
      <c r="E210" s="7" t="str">
        <f>if(C210&gt;statistics_analysis!$C$15,"high outlier",if(C210&lt;statistics_analysis!$C$14,"low outlier","normal"))</f>
        <v>high outlier</v>
      </c>
    </row>
    <row r="211">
      <c r="A211" s="3" t="s">
        <v>207</v>
      </c>
      <c r="B211" s="3">
        <v>5.0</v>
      </c>
      <c r="C211" s="4">
        <v>8.47</v>
      </c>
      <c r="D211" s="4">
        <v>128.2</v>
      </c>
      <c r="E211" s="7" t="str">
        <f>if(C211&gt;statistics_analysis!$C$15,"high outlier",if(C211&lt;statistics_analysis!$C$14,"low outlier","normal"))</f>
        <v>normal</v>
      </c>
    </row>
    <row r="212">
      <c r="A212" s="3" t="s">
        <v>208</v>
      </c>
      <c r="B212" s="3">
        <v>6.0</v>
      </c>
      <c r="C212" s="4">
        <v>1.54</v>
      </c>
      <c r="D212" s="4">
        <v>152.1</v>
      </c>
      <c r="E212" s="7" t="str">
        <f>if(C212&gt;statistics_analysis!$C$15,"high outlier",if(C212&lt;statistics_analysis!$C$14,"low outlier","normal"))</f>
        <v>normal</v>
      </c>
    </row>
    <row r="213">
      <c r="A213" s="3" t="s">
        <v>209</v>
      </c>
      <c r="B213" s="3">
        <v>7.0</v>
      </c>
      <c r="C213" s="4">
        <v>4.69</v>
      </c>
      <c r="D213" s="4">
        <v>122.7</v>
      </c>
      <c r="E213" s="7" t="str">
        <f>if(C213&gt;statistics_analysis!$C$15,"high outlier",if(C213&lt;statistics_analysis!$C$14,"low outlier","normal"))</f>
        <v>normal</v>
      </c>
    </row>
    <row r="214">
      <c r="A214" s="3" t="s">
        <v>210</v>
      </c>
      <c r="B214" s="3">
        <v>2.0</v>
      </c>
      <c r="C214" s="4">
        <v>15.98</v>
      </c>
      <c r="D214" s="4">
        <v>103.1</v>
      </c>
      <c r="E214" s="7" t="str">
        <f>if(C214&gt;statistics_analysis!$C$15,"high outlier",if(C214&lt;statistics_analysis!$C$14,"low outlier","normal"))</f>
        <v>normal</v>
      </c>
    </row>
    <row r="215">
      <c r="A215" s="3" t="s">
        <v>211</v>
      </c>
      <c r="B215" s="3">
        <v>1.0</v>
      </c>
      <c r="C215" s="4">
        <v>4.58</v>
      </c>
      <c r="D215" s="4">
        <v>150.4</v>
      </c>
      <c r="E215" s="7" t="str">
        <f>if(C215&gt;statistics_analysis!$C$15,"high outlier",if(C215&lt;statistics_analysis!$C$14,"low outlier","normal"))</f>
        <v>normal</v>
      </c>
    </row>
    <row r="216">
      <c r="A216" s="3" t="s">
        <v>212</v>
      </c>
      <c r="B216" s="3">
        <v>7.0</v>
      </c>
      <c r="C216" s="4">
        <v>0.91</v>
      </c>
      <c r="D216" s="4">
        <v>95.5</v>
      </c>
      <c r="E216" s="7" t="str">
        <f>if(C216&gt;statistics_analysis!$C$15,"high outlier",if(C216&lt;statistics_analysis!$C$14,"low outlier","normal"))</f>
        <v>normal</v>
      </c>
    </row>
    <row r="217">
      <c r="A217" s="3" t="s">
        <v>213</v>
      </c>
      <c r="B217" s="3">
        <v>5.0</v>
      </c>
      <c r="C217" s="4">
        <v>8.14</v>
      </c>
      <c r="D217" s="4">
        <v>71.0</v>
      </c>
      <c r="E217" s="7" t="str">
        <f>if(C217&gt;statistics_analysis!$C$15,"high outlier",if(C217&lt;statistics_analysis!$C$14,"low outlier","normal"))</f>
        <v>normal</v>
      </c>
    </row>
    <row r="218">
      <c r="A218" s="3" t="s">
        <v>214</v>
      </c>
      <c r="B218" s="3">
        <v>4.0</v>
      </c>
      <c r="C218" s="4">
        <v>18.65</v>
      </c>
      <c r="D218" s="4">
        <v>156.2</v>
      </c>
      <c r="E218" s="7" t="str">
        <f>if(C218&gt;statistics_analysis!$C$15,"high outlier",if(C218&lt;statistics_analysis!$C$14,"low outlier","normal"))</f>
        <v>normal</v>
      </c>
    </row>
    <row r="219">
      <c r="A219" s="3" t="s">
        <v>215</v>
      </c>
      <c r="B219" s="3">
        <v>4.0</v>
      </c>
      <c r="C219" s="4">
        <v>15.89</v>
      </c>
      <c r="D219" s="4">
        <v>154.3</v>
      </c>
      <c r="E219" s="7" t="str">
        <f>if(C219&gt;statistics_analysis!$C$15,"high outlier",if(C219&lt;statistics_analysis!$C$14,"low outlier","normal"))</f>
        <v>normal</v>
      </c>
    </row>
    <row r="220">
      <c r="A220" s="3" t="s">
        <v>216</v>
      </c>
      <c r="B220" s="3">
        <v>3.0</v>
      </c>
      <c r="C220" s="4">
        <v>1.93</v>
      </c>
      <c r="D220" s="4">
        <v>96.2</v>
      </c>
      <c r="E220" s="7" t="str">
        <f>if(C220&gt;statistics_analysis!$C$15,"high outlier",if(C220&lt;statistics_analysis!$C$14,"low outlier","normal"))</f>
        <v>normal</v>
      </c>
    </row>
    <row r="221">
      <c r="A221" s="3" t="s">
        <v>217</v>
      </c>
      <c r="B221" s="3">
        <v>8.0</v>
      </c>
      <c r="C221" s="4">
        <v>11.17</v>
      </c>
      <c r="D221" s="4">
        <v>108.0</v>
      </c>
      <c r="E221" s="7" t="str">
        <f>if(C221&gt;statistics_analysis!$C$15,"high outlier",if(C221&lt;statistics_analysis!$C$14,"low outlier","normal"))</f>
        <v>normal</v>
      </c>
    </row>
    <row r="222">
      <c r="A222" s="3" t="s">
        <v>218</v>
      </c>
      <c r="B222" s="3">
        <v>7.0</v>
      </c>
      <c r="C222" s="4">
        <v>2.49</v>
      </c>
      <c r="D222" s="4">
        <v>92.5</v>
      </c>
      <c r="E222" s="7" t="str">
        <f>if(C222&gt;statistics_analysis!$C$15,"high outlier",if(C222&lt;statistics_analysis!$C$14,"low outlier","normal"))</f>
        <v>normal</v>
      </c>
    </row>
    <row r="223">
      <c r="A223" s="3" t="s">
        <v>219</v>
      </c>
      <c r="B223" s="3">
        <v>1.0</v>
      </c>
      <c r="C223" s="4">
        <v>2.46</v>
      </c>
      <c r="D223" s="4">
        <v>129.8</v>
      </c>
      <c r="E223" s="7" t="str">
        <f>if(C223&gt;statistics_analysis!$C$15,"high outlier",if(C223&lt;statistics_analysis!$C$14,"low outlier","normal"))</f>
        <v>normal</v>
      </c>
    </row>
    <row r="224">
      <c r="A224" s="3" t="s">
        <v>220</v>
      </c>
      <c r="B224" s="3">
        <v>2.0</v>
      </c>
      <c r="C224" s="4">
        <v>20.72</v>
      </c>
      <c r="D224" s="4">
        <v>172.0</v>
      </c>
      <c r="E224" s="7" t="str">
        <f>if(C224&gt;statistics_analysis!$C$15,"high outlier",if(C224&lt;statistics_analysis!$C$14,"low outlier","normal"))</f>
        <v>normal</v>
      </c>
    </row>
    <row r="225">
      <c r="A225" s="3" t="s">
        <v>221</v>
      </c>
      <c r="B225" s="3">
        <v>4.0</v>
      </c>
      <c r="C225" s="4">
        <v>2.87</v>
      </c>
      <c r="D225" s="4">
        <v>141.1</v>
      </c>
      <c r="E225" s="7" t="str">
        <f>if(C225&gt;statistics_analysis!$C$15,"high outlier",if(C225&lt;statistics_analysis!$C$14,"low outlier","normal"))</f>
        <v>normal</v>
      </c>
    </row>
    <row r="226">
      <c r="A226" s="3" t="s">
        <v>222</v>
      </c>
      <c r="B226" s="3">
        <v>6.0</v>
      </c>
      <c r="C226" s="4">
        <v>3.06</v>
      </c>
      <c r="D226" s="4">
        <v>151.1</v>
      </c>
      <c r="E226" s="7" t="str">
        <f>if(C226&gt;statistics_analysis!$C$15,"high outlier",if(C226&lt;statistics_analysis!$C$14,"low outlier","normal"))</f>
        <v>normal</v>
      </c>
    </row>
    <row r="227">
      <c r="A227" s="3" t="s">
        <v>223</v>
      </c>
      <c r="B227" s="3">
        <v>4.0</v>
      </c>
      <c r="C227" s="4">
        <v>0.01</v>
      </c>
      <c r="D227" s="4">
        <v>144.6</v>
      </c>
      <c r="E227" s="7" t="str">
        <f>if(C227&gt;statistics_analysis!$C$15,"high outlier",if(C227&lt;statistics_analysis!$C$14,"low outlier","normal"))</f>
        <v>normal</v>
      </c>
    </row>
    <row r="228">
      <c r="A228" s="3" t="s">
        <v>224</v>
      </c>
      <c r="B228" s="3">
        <v>6.0</v>
      </c>
      <c r="C228" s="4">
        <v>20.45</v>
      </c>
      <c r="D228" s="4">
        <v>120.0</v>
      </c>
      <c r="E228" s="7" t="str">
        <f>if(C228&gt;statistics_analysis!$C$15,"high outlier",if(C228&lt;statistics_analysis!$C$14,"low outlier","normal"))</f>
        <v>normal</v>
      </c>
    </row>
    <row r="229">
      <c r="A229" s="3" t="s">
        <v>225</v>
      </c>
      <c r="B229" s="3">
        <v>8.0</v>
      </c>
      <c r="C229" s="4">
        <v>15.73</v>
      </c>
      <c r="D229" s="4">
        <v>152.5</v>
      </c>
      <c r="E229" s="7" t="str">
        <f>if(C229&gt;statistics_analysis!$C$15,"high outlier",if(C229&lt;statistics_analysis!$C$14,"low outlier","normal"))</f>
        <v>normal</v>
      </c>
    </row>
    <row r="230">
      <c r="A230" s="3" t="s">
        <v>226</v>
      </c>
      <c r="B230" s="3">
        <v>7.0</v>
      </c>
      <c r="C230" s="4">
        <v>9.87</v>
      </c>
      <c r="D230" s="4">
        <v>142.4</v>
      </c>
      <c r="E230" s="7" t="str">
        <f>if(C230&gt;statistics_analysis!$C$15,"high outlier",if(C230&lt;statistics_analysis!$C$14,"low outlier","normal"))</f>
        <v>normal</v>
      </c>
    </row>
    <row r="231">
      <c r="A231" s="3" t="s">
        <v>227</v>
      </c>
      <c r="B231" s="3">
        <v>5.0</v>
      </c>
      <c r="C231" s="4">
        <v>13.87</v>
      </c>
      <c r="D231" s="4">
        <v>163.2</v>
      </c>
      <c r="E231" s="7" t="str">
        <f>if(C231&gt;statistics_analysis!$C$15,"high outlier",if(C231&lt;statistics_analysis!$C$14,"low outlier","normal"))</f>
        <v>normal</v>
      </c>
    </row>
    <row r="232">
      <c r="A232" s="3" t="s">
        <v>228</v>
      </c>
      <c r="B232" s="3">
        <v>2.0</v>
      </c>
      <c r="C232" s="4">
        <v>1.65</v>
      </c>
      <c r="D232" s="4">
        <v>106.2</v>
      </c>
      <c r="E232" s="7" t="str">
        <f>if(C232&gt;statistics_analysis!$C$15,"high outlier",if(C232&lt;statistics_analysis!$C$14,"low outlier","normal"))</f>
        <v>normal</v>
      </c>
    </row>
    <row r="233">
      <c r="A233" s="3" t="s">
        <v>229</v>
      </c>
      <c r="B233" s="3">
        <v>1.0</v>
      </c>
      <c r="C233" s="4">
        <v>6.13</v>
      </c>
      <c r="D233" s="4">
        <v>67.9</v>
      </c>
      <c r="E233" s="7" t="str">
        <f>if(C233&gt;statistics_analysis!$C$15,"high outlier",if(C233&lt;statistics_analysis!$C$14,"low outlier","normal"))</f>
        <v>normal</v>
      </c>
    </row>
    <row r="234">
      <c r="A234" s="3" t="s">
        <v>230</v>
      </c>
      <c r="B234" s="3">
        <v>7.0</v>
      </c>
      <c r="C234" s="4">
        <v>4.33</v>
      </c>
      <c r="D234" s="4">
        <v>151.4</v>
      </c>
      <c r="E234" s="7" t="str">
        <f>if(C234&gt;statistics_analysis!$C$15,"high outlier",if(C234&lt;statistics_analysis!$C$14,"low outlier","normal"))</f>
        <v>normal</v>
      </c>
    </row>
    <row r="235">
      <c r="A235" s="3" t="s">
        <v>231</v>
      </c>
      <c r="B235" s="3">
        <v>4.0</v>
      </c>
      <c r="C235" s="4">
        <v>0.98</v>
      </c>
      <c r="D235" s="4">
        <v>130.5</v>
      </c>
      <c r="E235" s="7" t="str">
        <f>if(C235&gt;statistics_analysis!$C$15,"high outlier",if(C235&lt;statistics_analysis!$C$14,"low outlier","normal"))</f>
        <v>normal</v>
      </c>
    </row>
    <row r="236">
      <c r="A236" s="3" t="s">
        <v>232</v>
      </c>
      <c r="B236" s="3">
        <v>1.0</v>
      </c>
      <c r="C236" s="4">
        <v>6.66</v>
      </c>
      <c r="D236" s="4">
        <v>111.1</v>
      </c>
      <c r="E236" s="7" t="str">
        <f>if(C236&gt;statistics_analysis!$C$15,"high outlier",if(C236&lt;statistics_analysis!$C$14,"low outlier","normal"))</f>
        <v>normal</v>
      </c>
    </row>
    <row r="237">
      <c r="A237" s="3" t="s">
        <v>233</v>
      </c>
      <c r="B237" s="3">
        <v>6.0</v>
      </c>
      <c r="C237" s="4">
        <v>25.35</v>
      </c>
      <c r="D237" s="4">
        <v>112.8</v>
      </c>
      <c r="E237" s="7" t="str">
        <f>if(C237&gt;statistics_analysis!$C$15,"high outlier",if(C237&lt;statistics_analysis!$C$14,"low outlier","normal"))</f>
        <v>normal</v>
      </c>
    </row>
    <row r="238">
      <c r="A238" s="3" t="s">
        <v>234</v>
      </c>
      <c r="B238" s="3">
        <v>5.0</v>
      </c>
      <c r="C238" s="4">
        <v>0.41</v>
      </c>
      <c r="D238" s="4">
        <v>196.6</v>
      </c>
      <c r="E238" s="7" t="str">
        <f>if(C238&gt;statistics_analysis!$C$15,"high outlier",if(C238&lt;statistics_analysis!$C$14,"low outlier","normal"))</f>
        <v>normal</v>
      </c>
    </row>
    <row r="239">
      <c r="A239" s="3" t="s">
        <v>235</v>
      </c>
      <c r="B239" s="3">
        <v>8.0</v>
      </c>
      <c r="C239" s="4">
        <v>3.45</v>
      </c>
      <c r="D239" s="4">
        <v>100.7</v>
      </c>
      <c r="E239" s="7" t="str">
        <f>if(C239&gt;statistics_analysis!$C$15,"high outlier",if(C239&lt;statistics_analysis!$C$14,"low outlier","normal"))</f>
        <v>normal</v>
      </c>
    </row>
    <row r="240">
      <c r="A240" s="3" t="s">
        <v>236</v>
      </c>
      <c r="B240" s="3">
        <v>5.0</v>
      </c>
      <c r="C240" s="4">
        <v>2.33</v>
      </c>
      <c r="D240" s="4">
        <v>94.4</v>
      </c>
      <c r="E240" s="7" t="str">
        <f>if(C240&gt;statistics_analysis!$C$15,"high outlier",if(C240&lt;statistics_analysis!$C$14,"low outlier","normal"))</f>
        <v>normal</v>
      </c>
    </row>
    <row r="241">
      <c r="A241" s="3" t="s">
        <v>237</v>
      </c>
      <c r="B241" s="3">
        <v>4.0</v>
      </c>
      <c r="C241" s="4">
        <v>2.72</v>
      </c>
      <c r="D241" s="4">
        <v>122.6</v>
      </c>
      <c r="E241" s="7" t="str">
        <f>if(C241&gt;statistics_analysis!$C$15,"high outlier",if(C241&lt;statistics_analysis!$C$14,"low outlier","normal"))</f>
        <v>normal</v>
      </c>
    </row>
    <row r="242">
      <c r="A242" s="3" t="s">
        <v>238</v>
      </c>
      <c r="B242" s="3">
        <v>10.0</v>
      </c>
      <c r="C242" s="4">
        <v>23.91</v>
      </c>
      <c r="D242" s="4">
        <v>155.4</v>
      </c>
      <c r="E242" s="7" t="str">
        <f>if(C242&gt;statistics_analysis!$C$15,"high outlier",if(C242&lt;statistics_analysis!$C$14,"low outlier","normal"))</f>
        <v>normal</v>
      </c>
    </row>
    <row r="243">
      <c r="A243" s="3" t="s">
        <v>239</v>
      </c>
      <c r="B243" s="3">
        <v>7.0</v>
      </c>
      <c r="C243" s="4">
        <v>6.31</v>
      </c>
      <c r="D243" s="4">
        <v>188.4</v>
      </c>
      <c r="E243" s="7" t="str">
        <f>if(C243&gt;statistics_analysis!$C$15,"high outlier",if(C243&lt;statistics_analysis!$C$14,"low outlier","normal"))</f>
        <v>normal</v>
      </c>
    </row>
    <row r="244">
      <c r="A244" s="3" t="s">
        <v>240</v>
      </c>
      <c r="B244" s="3">
        <v>4.0</v>
      </c>
      <c r="C244" s="4">
        <v>6.28</v>
      </c>
      <c r="D244" s="4">
        <v>139.7</v>
      </c>
      <c r="E244" s="7" t="str">
        <f>if(C244&gt;statistics_analysis!$C$15,"high outlier",if(C244&lt;statistics_analysis!$C$14,"low outlier","normal"))</f>
        <v>normal</v>
      </c>
    </row>
    <row r="245">
      <c r="A245" s="3">
        <v>9.1158499E7</v>
      </c>
      <c r="B245" s="3">
        <v>8.0</v>
      </c>
      <c r="C245" s="4">
        <v>14.3</v>
      </c>
      <c r="D245" s="4">
        <v>81.9</v>
      </c>
      <c r="E245" s="7" t="str">
        <f>if(C245&gt;statistics_analysis!$C$15,"high outlier",if(C245&lt;statistics_analysis!$C$14,"low outlier","normal"))</f>
        <v>normal</v>
      </c>
    </row>
    <row r="246">
      <c r="A246" s="3" t="s">
        <v>241</v>
      </c>
      <c r="B246" s="3">
        <v>5.0</v>
      </c>
      <c r="C246" s="4">
        <v>1.68</v>
      </c>
      <c r="D246" s="4">
        <v>179.1</v>
      </c>
      <c r="E246" s="7" t="str">
        <f>if(C246&gt;statistics_analysis!$C$15,"high outlier",if(C246&lt;statistics_analysis!$C$14,"low outlier","normal"))</f>
        <v>normal</v>
      </c>
    </row>
    <row r="247">
      <c r="A247" s="3" t="s">
        <v>242</v>
      </c>
      <c r="B247" s="3">
        <v>5.0</v>
      </c>
      <c r="C247" s="4">
        <v>6.68</v>
      </c>
      <c r="D247" s="4">
        <v>119.4</v>
      </c>
      <c r="E247" s="7" t="str">
        <f>if(C247&gt;statistics_analysis!$C$15,"high outlier",if(C247&lt;statistics_analysis!$C$14,"low outlier","normal"))</f>
        <v>normal</v>
      </c>
    </row>
    <row r="248">
      <c r="A248" s="3" t="s">
        <v>243</v>
      </c>
      <c r="B248" s="3">
        <v>5.0</v>
      </c>
      <c r="C248" s="4">
        <v>5.62</v>
      </c>
      <c r="D248" s="4">
        <v>94.9</v>
      </c>
      <c r="E248" s="7" t="str">
        <f>if(C248&gt;statistics_analysis!$C$15,"high outlier",if(C248&lt;statistics_analysis!$C$14,"low outlier","normal"))</f>
        <v>normal</v>
      </c>
    </row>
    <row r="249">
      <c r="A249" s="3" t="s">
        <v>244</v>
      </c>
      <c r="B249" s="3">
        <v>2.0</v>
      </c>
      <c r="C249" s="4">
        <v>9.09</v>
      </c>
      <c r="D249" s="4">
        <v>87.6</v>
      </c>
      <c r="E249" s="7" t="str">
        <f>if(C249&gt;statistics_analysis!$C$15,"high outlier",if(C249&lt;statistics_analysis!$C$14,"low outlier","normal"))</f>
        <v>normal</v>
      </c>
    </row>
    <row r="250">
      <c r="A250" s="3" t="s">
        <v>245</v>
      </c>
      <c r="B250" s="3">
        <v>3.0</v>
      </c>
      <c r="C250" s="4">
        <v>77.24</v>
      </c>
      <c r="D250" s="4">
        <v>145.1</v>
      </c>
      <c r="E250" s="7" t="str">
        <f>if(C250&gt;statistics_analysis!$C$15,"high outlier",if(C250&lt;statistics_analysis!$C$14,"low outlier","normal"))</f>
        <v>high outlier</v>
      </c>
    </row>
    <row r="251">
      <c r="A251" s="3" t="s">
        <v>246</v>
      </c>
      <c r="B251" s="3">
        <v>4.0</v>
      </c>
      <c r="C251" s="4">
        <v>14.67</v>
      </c>
      <c r="D251" s="4">
        <v>127.2</v>
      </c>
      <c r="E251" s="7" t="str">
        <f>if(C251&gt;statistics_analysis!$C$15,"high outlier",if(C251&lt;statistics_analysis!$C$14,"low outlier","normal"))</f>
        <v>normal</v>
      </c>
    </row>
    <row r="252">
      <c r="A252" s="3" t="s">
        <v>247</v>
      </c>
      <c r="B252" s="3">
        <v>9.0</v>
      </c>
      <c r="C252" s="4">
        <v>5.07</v>
      </c>
      <c r="D252" s="4">
        <v>130.4</v>
      </c>
      <c r="E252" s="7" t="str">
        <f>if(C252&gt;statistics_analysis!$C$15,"high outlier",if(C252&lt;statistics_analysis!$C$14,"low outlier","normal"))</f>
        <v>normal</v>
      </c>
    </row>
    <row r="253">
      <c r="A253" s="3" t="s">
        <v>248</v>
      </c>
      <c r="B253" s="3">
        <v>0.0</v>
      </c>
      <c r="C253" s="4">
        <v>17.58</v>
      </c>
      <c r="D253" s="4">
        <v>158.6</v>
      </c>
      <c r="E253" s="7" t="str">
        <f>if(C253&gt;statistics_analysis!$C$15,"high outlier",if(C253&lt;statistics_analysis!$C$14,"low outlier","normal"))</f>
        <v>normal</v>
      </c>
    </row>
    <row r="254">
      <c r="A254" s="3">
        <v>4118988.0</v>
      </c>
      <c r="B254" s="3">
        <v>5.0</v>
      </c>
      <c r="C254" s="4">
        <v>1.87</v>
      </c>
      <c r="D254" s="4">
        <v>95.9</v>
      </c>
      <c r="E254" s="7" t="str">
        <f>if(C254&gt;statistics_analysis!$C$15,"high outlier",if(C254&lt;statistics_analysis!$C$14,"low outlier","normal"))</f>
        <v>normal</v>
      </c>
    </row>
    <row r="255">
      <c r="A255" s="3" t="s">
        <v>249</v>
      </c>
      <c r="B255" s="3">
        <v>5.0</v>
      </c>
      <c r="C255" s="4">
        <v>0.31</v>
      </c>
      <c r="D255" s="4">
        <v>161.0</v>
      </c>
      <c r="E255" s="7" t="str">
        <f>if(C255&gt;statistics_analysis!$C$15,"high outlier",if(C255&lt;statistics_analysis!$C$14,"low outlier","normal"))</f>
        <v>normal</v>
      </c>
    </row>
    <row r="256">
      <c r="A256" s="3" t="s">
        <v>250</v>
      </c>
      <c r="B256" s="3">
        <v>5.0</v>
      </c>
      <c r="C256" s="4">
        <v>2.29</v>
      </c>
      <c r="D256" s="4">
        <v>104.4</v>
      </c>
      <c r="E256" s="7" t="str">
        <f>if(C256&gt;statistics_analysis!$C$15,"high outlier",if(C256&lt;statistics_analysis!$C$14,"low outlier","normal"))</f>
        <v>normal</v>
      </c>
    </row>
    <row r="257">
      <c r="A257" s="3" t="s">
        <v>251</v>
      </c>
      <c r="B257" s="3">
        <v>5.0</v>
      </c>
      <c r="C257" s="4">
        <v>4.16</v>
      </c>
      <c r="D257" s="4">
        <v>184.9</v>
      </c>
      <c r="E257" s="7" t="str">
        <f>if(C257&gt;statistics_analysis!$C$15,"high outlier",if(C257&lt;statistics_analysis!$C$14,"low outlier","normal"))</f>
        <v>normal</v>
      </c>
    </row>
    <row r="258">
      <c r="A258" s="3" t="s">
        <v>252</v>
      </c>
      <c r="B258" s="3">
        <v>4.0</v>
      </c>
      <c r="C258" s="4">
        <v>7.15</v>
      </c>
      <c r="D258" s="4">
        <v>138.0</v>
      </c>
      <c r="E258" s="7" t="str">
        <f>if(C258&gt;statistics_analysis!$C$15,"high outlier",if(C258&lt;statistics_analysis!$C$14,"low outlier","normal"))</f>
        <v>normal</v>
      </c>
    </row>
    <row r="259">
      <c r="A259" s="3" t="s">
        <v>253</v>
      </c>
      <c r="B259" s="3">
        <v>9.0</v>
      </c>
      <c r="C259" s="4">
        <v>9.55</v>
      </c>
      <c r="D259" s="4">
        <v>92.4</v>
      </c>
      <c r="E259" s="7" t="str">
        <f>if(C259&gt;statistics_analysis!$C$15,"high outlier",if(C259&lt;statistics_analysis!$C$14,"low outlier","normal"))</f>
        <v>normal</v>
      </c>
    </row>
    <row r="260">
      <c r="A260" s="3" t="s">
        <v>254</v>
      </c>
      <c r="B260" s="3">
        <v>6.0</v>
      </c>
      <c r="C260" s="4">
        <v>24.15</v>
      </c>
      <c r="D260" s="4">
        <v>59.2</v>
      </c>
      <c r="E260" s="7" t="str">
        <f>if(C260&gt;statistics_analysis!$C$15,"high outlier",if(C260&lt;statistics_analysis!$C$14,"low outlier","normal"))</f>
        <v>normal</v>
      </c>
    </row>
    <row r="261">
      <c r="A261" s="3" t="s">
        <v>255</v>
      </c>
      <c r="B261" s="3">
        <v>2.0</v>
      </c>
      <c r="C261" s="4">
        <v>7.13</v>
      </c>
      <c r="D261" s="4">
        <v>144.3</v>
      </c>
      <c r="E261" s="7" t="str">
        <f>if(C261&gt;statistics_analysis!$C$15,"high outlier",if(C261&lt;statistics_analysis!$C$14,"low outlier","normal"))</f>
        <v>normal</v>
      </c>
    </row>
    <row r="262">
      <c r="A262" s="3" t="s">
        <v>256</v>
      </c>
      <c r="B262" s="3">
        <v>6.0</v>
      </c>
      <c r="C262" s="4">
        <v>6.96</v>
      </c>
      <c r="D262" s="4">
        <v>108.8</v>
      </c>
      <c r="E262" s="7" t="str">
        <f>if(C262&gt;statistics_analysis!$C$15,"high outlier",if(C262&lt;statistics_analysis!$C$14,"low outlier","normal"))</f>
        <v>normal</v>
      </c>
    </row>
    <row r="263">
      <c r="A263" s="3" t="s">
        <v>257</v>
      </c>
      <c r="B263" s="3">
        <v>6.0</v>
      </c>
      <c r="C263" s="4">
        <v>0.52</v>
      </c>
      <c r="D263" s="4">
        <v>115.3</v>
      </c>
      <c r="E263" s="7" t="str">
        <f>if(C263&gt;statistics_analysis!$C$15,"high outlier",if(C263&lt;statistics_analysis!$C$14,"low outlier","normal"))</f>
        <v>normal</v>
      </c>
    </row>
    <row r="264">
      <c r="A264" s="3" t="s">
        <v>258</v>
      </c>
      <c r="B264" s="3">
        <v>6.0</v>
      </c>
      <c r="C264" s="4">
        <v>0.36</v>
      </c>
      <c r="D264" s="4">
        <v>143.0</v>
      </c>
      <c r="E264" s="7" t="str">
        <f>if(C264&gt;statistics_analysis!$C$15,"high outlier",if(C264&lt;statistics_analysis!$C$14,"low outlier","normal"))</f>
        <v>normal</v>
      </c>
    </row>
    <row r="265">
      <c r="A265" s="3" t="s">
        <v>259</v>
      </c>
      <c r="B265" s="3">
        <v>5.0</v>
      </c>
      <c r="C265" s="4">
        <v>8.01</v>
      </c>
      <c r="D265" s="4">
        <v>150.3</v>
      </c>
      <c r="E265" s="7" t="str">
        <f>if(C265&gt;statistics_analysis!$C$15,"high outlier",if(C265&lt;statistics_analysis!$C$14,"low outlier","normal"))</f>
        <v>normal</v>
      </c>
    </row>
    <row r="266">
      <c r="A266" s="3" t="s">
        <v>260</v>
      </c>
      <c r="B266" s="3">
        <v>2.0</v>
      </c>
      <c r="C266" s="4">
        <v>5.77</v>
      </c>
      <c r="D266" s="4">
        <v>156.7</v>
      </c>
      <c r="E266" s="7" t="str">
        <f>if(C266&gt;statistics_analysis!$C$15,"high outlier",if(C266&lt;statistics_analysis!$C$14,"low outlier","normal"))</f>
        <v>normal</v>
      </c>
    </row>
    <row r="267">
      <c r="A267" s="3" t="s">
        <v>261</v>
      </c>
      <c r="B267" s="3">
        <v>5.0</v>
      </c>
      <c r="C267" s="4">
        <v>18.27</v>
      </c>
      <c r="D267" s="4">
        <v>84.8</v>
      </c>
      <c r="E267" s="7" t="str">
        <f>if(C267&gt;statistics_analysis!$C$15,"high outlier",if(C267&lt;statistics_analysis!$C$14,"low outlier","normal"))</f>
        <v>normal</v>
      </c>
    </row>
    <row r="268">
      <c r="A268" s="3" t="s">
        <v>262</v>
      </c>
      <c r="B268" s="3">
        <v>3.0</v>
      </c>
      <c r="C268" s="4">
        <v>1.75</v>
      </c>
      <c r="D268" s="4">
        <v>162.8</v>
      </c>
      <c r="E268" s="7" t="str">
        <f>if(C268&gt;statistics_analysis!$C$15,"high outlier",if(C268&lt;statistics_analysis!$C$14,"low outlier","normal"))</f>
        <v>normal</v>
      </c>
    </row>
    <row r="269">
      <c r="A269" s="3" t="s">
        <v>263</v>
      </c>
      <c r="B269" s="3">
        <v>3.0</v>
      </c>
      <c r="C269" s="4">
        <v>0.25</v>
      </c>
      <c r="D269" s="4">
        <v>102.6</v>
      </c>
      <c r="E269" s="7" t="str">
        <f>if(C269&gt;statistics_analysis!$C$15,"high outlier",if(C269&lt;statistics_analysis!$C$14,"low outlier","normal"))</f>
        <v>normal</v>
      </c>
    </row>
    <row r="270">
      <c r="A270" s="3" t="s">
        <v>264</v>
      </c>
      <c r="B270" s="3">
        <v>3.0</v>
      </c>
      <c r="C270" s="4">
        <v>5.96</v>
      </c>
      <c r="D270" s="4">
        <v>52.3</v>
      </c>
      <c r="E270" s="7" t="str">
        <f>if(C270&gt;statistics_analysis!$C$15,"high outlier",if(C270&lt;statistics_analysis!$C$14,"low outlier","normal"))</f>
        <v>normal</v>
      </c>
    </row>
    <row r="271">
      <c r="A271" s="3" t="s">
        <v>265</v>
      </c>
      <c r="B271" s="3">
        <v>6.0</v>
      </c>
      <c r="C271" s="4">
        <v>2.71</v>
      </c>
      <c r="D271" s="4">
        <v>84.6</v>
      </c>
      <c r="E271" s="7" t="str">
        <f>if(C271&gt;statistics_analysis!$C$15,"high outlier",if(C271&lt;statistics_analysis!$C$14,"low outlier","normal"))</f>
        <v>normal</v>
      </c>
    </row>
    <row r="272">
      <c r="A272" s="3" t="s">
        <v>266</v>
      </c>
      <c r="B272" s="3">
        <v>6.0</v>
      </c>
      <c r="C272" s="4">
        <v>0.51</v>
      </c>
      <c r="D272" s="4">
        <v>126.5</v>
      </c>
      <c r="E272" s="7" t="str">
        <f>if(C272&gt;statistics_analysis!$C$15,"high outlier",if(C272&lt;statistics_analysis!$C$14,"low outlier","normal"))</f>
        <v>normal</v>
      </c>
    </row>
    <row r="273">
      <c r="A273" s="3" t="s">
        <v>267</v>
      </c>
      <c r="B273" s="3">
        <v>4.0</v>
      </c>
      <c r="C273" s="4">
        <v>12.9</v>
      </c>
      <c r="D273" s="4">
        <v>90.6</v>
      </c>
      <c r="E273" s="7" t="str">
        <f>if(C273&gt;statistics_analysis!$C$15,"high outlier",if(C273&lt;statistics_analysis!$C$14,"low outlier","normal"))</f>
        <v>normal</v>
      </c>
    </row>
    <row r="274">
      <c r="A274" s="3" t="s">
        <v>268</v>
      </c>
      <c r="B274" s="3">
        <v>5.0</v>
      </c>
      <c r="C274" s="4">
        <v>1.18</v>
      </c>
      <c r="D274" s="4">
        <v>117.4</v>
      </c>
      <c r="E274" s="7" t="str">
        <f>if(C274&gt;statistics_analysis!$C$15,"high outlier",if(C274&lt;statistics_analysis!$C$14,"low outlier","normal"))</f>
        <v>normal</v>
      </c>
    </row>
    <row r="275">
      <c r="A275" s="3" t="s">
        <v>269</v>
      </c>
      <c r="B275" s="3">
        <v>5.0</v>
      </c>
      <c r="C275" s="4">
        <v>9.37</v>
      </c>
      <c r="D275" s="4">
        <v>130.1</v>
      </c>
      <c r="E275" s="7" t="str">
        <f>if(C275&gt;statistics_analysis!$C$15,"high outlier",if(C275&lt;statistics_analysis!$C$14,"low outlier","normal"))</f>
        <v>normal</v>
      </c>
    </row>
    <row r="276">
      <c r="A276" s="3" t="s">
        <v>270</v>
      </c>
      <c r="B276" s="3">
        <v>7.0</v>
      </c>
      <c r="C276" s="4">
        <v>3.3</v>
      </c>
      <c r="D276" s="4">
        <v>114.6</v>
      </c>
      <c r="E276" s="7" t="str">
        <f>if(C276&gt;statistics_analysis!$C$15,"high outlier",if(C276&lt;statistics_analysis!$C$14,"low outlier","normal"))</f>
        <v>normal</v>
      </c>
    </row>
    <row r="277">
      <c r="A277" s="3" t="s">
        <v>271</v>
      </c>
      <c r="B277" s="3">
        <v>5.0</v>
      </c>
      <c r="C277" s="4">
        <v>1.91</v>
      </c>
      <c r="D277" s="4">
        <v>105.2</v>
      </c>
      <c r="E277" s="7" t="str">
        <f>if(C277&gt;statistics_analysis!$C$15,"high outlier",if(C277&lt;statistics_analysis!$C$14,"low outlier","normal"))</f>
        <v>normal</v>
      </c>
    </row>
    <row r="278">
      <c r="A278" s="3">
        <v>5.280363E7</v>
      </c>
      <c r="B278" s="3">
        <v>3.0</v>
      </c>
      <c r="C278" s="4">
        <v>4.78</v>
      </c>
      <c r="D278" s="4">
        <v>82.5</v>
      </c>
      <c r="E278" s="7" t="str">
        <f>if(C278&gt;statistics_analysis!$C$15,"high outlier",if(C278&lt;statistics_analysis!$C$14,"low outlier","normal"))</f>
        <v>normal</v>
      </c>
    </row>
    <row r="279">
      <c r="A279" s="3" t="s">
        <v>272</v>
      </c>
      <c r="B279" s="3">
        <v>4.0</v>
      </c>
      <c r="C279" s="4">
        <v>16.17</v>
      </c>
      <c r="D279" s="4">
        <v>120.7</v>
      </c>
      <c r="E279" s="7" t="str">
        <f>if(C279&gt;statistics_analysis!$C$15,"high outlier",if(C279&lt;statistics_analysis!$C$14,"low outlier","normal"))</f>
        <v>normal</v>
      </c>
    </row>
    <row r="280">
      <c r="A280" s="3" t="s">
        <v>273</v>
      </c>
      <c r="B280" s="3">
        <v>7.0</v>
      </c>
      <c r="C280" s="4">
        <v>4.98</v>
      </c>
      <c r="D280" s="4">
        <v>58.1</v>
      </c>
      <c r="E280" s="7" t="str">
        <f>if(C280&gt;statistics_analysis!$C$15,"high outlier",if(C280&lt;statistics_analysis!$C$14,"low outlier","normal"))</f>
        <v>normal</v>
      </c>
    </row>
    <row r="281">
      <c r="A281" s="3" t="s">
        <v>274</v>
      </c>
      <c r="B281" s="3">
        <v>5.0</v>
      </c>
      <c r="C281" s="4">
        <v>13.89</v>
      </c>
      <c r="D281" s="4">
        <v>99.4</v>
      </c>
      <c r="E281" s="7" t="str">
        <f>if(C281&gt;statistics_analysis!$C$15,"high outlier",if(C281&lt;statistics_analysis!$C$14,"low outlier","normal"))</f>
        <v>normal</v>
      </c>
    </row>
    <row r="282">
      <c r="A282" s="3" t="s">
        <v>275</v>
      </c>
      <c r="B282" s="3">
        <v>7.0</v>
      </c>
      <c r="C282" s="4">
        <v>1.34</v>
      </c>
      <c r="D282" s="4">
        <v>92.2</v>
      </c>
      <c r="E282" s="7" t="str">
        <f>if(C282&gt;statistics_analysis!$C$15,"high outlier",if(C282&lt;statistics_analysis!$C$14,"low outlier","normal"))</f>
        <v>normal</v>
      </c>
    </row>
    <row r="283">
      <c r="A283" s="3" t="s">
        <v>276</v>
      </c>
      <c r="B283" s="3">
        <v>8.0</v>
      </c>
      <c r="C283" s="4">
        <v>14.82</v>
      </c>
      <c r="D283" s="4">
        <v>112.8</v>
      </c>
      <c r="E283" s="7" t="str">
        <f>if(C283&gt;statistics_analysis!$C$15,"high outlier",if(C283&lt;statistics_analysis!$C$14,"low outlier","normal"))</f>
        <v>normal</v>
      </c>
    </row>
    <row r="284">
      <c r="A284" s="3" t="s">
        <v>277</v>
      </c>
      <c r="B284" s="3">
        <v>7.0</v>
      </c>
      <c r="C284" s="4">
        <v>2.7</v>
      </c>
      <c r="D284" s="4">
        <v>113.6</v>
      </c>
      <c r="E284" s="7" t="str">
        <f>if(C284&gt;statistics_analysis!$C$15,"high outlier",if(C284&lt;statistics_analysis!$C$14,"low outlier","normal"))</f>
        <v>normal</v>
      </c>
    </row>
    <row r="285">
      <c r="A285" s="3">
        <v>1.9291167E7</v>
      </c>
      <c r="B285" s="3">
        <v>5.0</v>
      </c>
      <c r="C285" s="4">
        <v>11.31</v>
      </c>
      <c r="D285" s="4">
        <v>148.8</v>
      </c>
      <c r="E285" s="7" t="str">
        <f>if(C285&gt;statistics_analysis!$C$15,"high outlier",if(C285&lt;statistics_analysis!$C$14,"low outlier","normal"))</f>
        <v>normal</v>
      </c>
    </row>
    <row r="286">
      <c r="A286" s="3" t="s">
        <v>278</v>
      </c>
      <c r="B286" s="3">
        <v>8.0</v>
      </c>
      <c r="C286" s="4">
        <v>8.34</v>
      </c>
      <c r="D286" s="4">
        <v>167.5</v>
      </c>
      <c r="E286" s="7" t="str">
        <f>if(C286&gt;statistics_analysis!$C$15,"high outlier",if(C286&lt;statistics_analysis!$C$14,"low outlier","normal"))</f>
        <v>normal</v>
      </c>
    </row>
    <row r="287">
      <c r="A287" s="3" t="s">
        <v>279</v>
      </c>
      <c r="B287" s="3">
        <v>4.0</v>
      </c>
      <c r="C287" s="4">
        <v>26.47</v>
      </c>
      <c r="D287" s="4">
        <v>86.5</v>
      </c>
      <c r="E287" s="7" t="str">
        <f>if(C287&gt;statistics_analysis!$C$15,"high outlier",if(C287&lt;statistics_analysis!$C$14,"low outlier","normal"))</f>
        <v>normal</v>
      </c>
    </row>
    <row r="288">
      <c r="A288" s="3" t="s">
        <v>280</v>
      </c>
      <c r="B288" s="3">
        <v>6.0</v>
      </c>
      <c r="C288" s="4">
        <v>4.9</v>
      </c>
      <c r="D288" s="4">
        <v>179.8</v>
      </c>
      <c r="E288" s="7" t="str">
        <f>if(C288&gt;statistics_analysis!$C$15,"high outlier",if(C288&lt;statistics_analysis!$C$14,"low outlier","normal"))</f>
        <v>normal</v>
      </c>
    </row>
    <row r="289">
      <c r="A289" s="3" t="s">
        <v>281</v>
      </c>
      <c r="B289" s="3">
        <v>8.0</v>
      </c>
      <c r="C289" s="4">
        <v>0.68</v>
      </c>
      <c r="D289" s="4">
        <v>96.6</v>
      </c>
      <c r="E289" s="7" t="str">
        <f>if(C289&gt;statistics_analysis!$C$15,"high outlier",if(C289&lt;statistics_analysis!$C$14,"low outlier","normal"))</f>
        <v>normal</v>
      </c>
    </row>
    <row r="290">
      <c r="A290" s="3" t="s">
        <v>282</v>
      </c>
      <c r="B290" s="3">
        <v>6.0</v>
      </c>
      <c r="C290" s="4">
        <v>0.19</v>
      </c>
      <c r="D290" s="4">
        <v>125.2</v>
      </c>
      <c r="E290" s="7" t="str">
        <f>if(C290&gt;statistics_analysis!$C$15,"high outlier",if(C290&lt;statistics_analysis!$C$14,"low outlier","normal"))</f>
        <v>normal</v>
      </c>
    </row>
    <row r="291">
      <c r="A291" s="3" t="s">
        <v>283</v>
      </c>
      <c r="B291" s="3">
        <v>3.0</v>
      </c>
      <c r="C291" s="4">
        <v>17.54</v>
      </c>
      <c r="D291" s="4">
        <v>135.3</v>
      </c>
      <c r="E291" s="7" t="str">
        <f>if(C291&gt;statistics_analysis!$C$15,"high outlier",if(C291&lt;statistics_analysis!$C$14,"low outlier","normal"))</f>
        <v>normal</v>
      </c>
    </row>
    <row r="292">
      <c r="A292" s="3" t="s">
        <v>284</v>
      </c>
      <c r="B292" s="3">
        <v>8.0</v>
      </c>
      <c r="C292" s="4">
        <v>7.44</v>
      </c>
      <c r="D292" s="4">
        <v>193.3</v>
      </c>
      <c r="E292" s="7" t="str">
        <f>if(C292&gt;statistics_analysis!$C$15,"high outlier",if(C292&lt;statistics_analysis!$C$14,"low outlier","normal"))</f>
        <v>normal</v>
      </c>
    </row>
    <row r="293">
      <c r="A293" s="3" t="s">
        <v>285</v>
      </c>
      <c r="B293" s="3">
        <v>4.0</v>
      </c>
      <c r="C293" s="4">
        <v>14.93</v>
      </c>
      <c r="D293" s="4">
        <v>103.7</v>
      </c>
      <c r="E293" s="7" t="str">
        <f>if(C293&gt;statistics_analysis!$C$15,"high outlier",if(C293&lt;statistics_analysis!$C$14,"low outlier","normal"))</f>
        <v>normal</v>
      </c>
    </row>
    <row r="294">
      <c r="A294" s="3" t="s">
        <v>286</v>
      </c>
      <c r="B294" s="3">
        <v>7.0</v>
      </c>
      <c r="C294" s="4">
        <v>2.67</v>
      </c>
      <c r="D294" s="4">
        <v>66.1</v>
      </c>
      <c r="E294" s="7" t="str">
        <f>if(C294&gt;statistics_analysis!$C$15,"high outlier",if(C294&lt;statistics_analysis!$C$14,"low outlier","normal"))</f>
        <v>normal</v>
      </c>
    </row>
    <row r="295">
      <c r="A295" s="3" t="s">
        <v>287</v>
      </c>
      <c r="B295" s="3">
        <v>2.0</v>
      </c>
      <c r="C295" s="4">
        <v>4.23</v>
      </c>
      <c r="D295" s="4">
        <v>164.7</v>
      </c>
      <c r="E295" s="7" t="str">
        <f>if(C295&gt;statistics_analysis!$C$15,"high outlier",if(C295&lt;statistics_analysis!$C$14,"low outlier","normal"))</f>
        <v>normal</v>
      </c>
    </row>
    <row r="296">
      <c r="A296" s="3" t="s">
        <v>288</v>
      </c>
      <c r="B296" s="3">
        <v>10.0</v>
      </c>
      <c r="C296" s="4">
        <v>0.31</v>
      </c>
      <c r="D296" s="4">
        <v>95.0</v>
      </c>
      <c r="E296" s="7" t="str">
        <f>if(C296&gt;statistics_analysis!$C$15,"high outlier",if(C296&lt;statistics_analysis!$C$14,"low outlier","normal"))</f>
        <v>normal</v>
      </c>
    </row>
    <row r="297">
      <c r="A297" s="3" t="s">
        <v>289</v>
      </c>
      <c r="B297" s="3">
        <v>6.0</v>
      </c>
      <c r="C297" s="4">
        <v>32.57</v>
      </c>
      <c r="D297" s="4">
        <v>109.2</v>
      </c>
      <c r="E297" s="7" t="str">
        <f>if(C297&gt;statistics_analysis!$C$15,"high outlier",if(C297&lt;statistics_analysis!$C$14,"low outlier","normal"))</f>
        <v>high outlier</v>
      </c>
    </row>
    <row r="298">
      <c r="A298" s="3" t="s">
        <v>290</v>
      </c>
      <c r="B298" s="3">
        <v>4.0</v>
      </c>
      <c r="C298" s="4">
        <v>11.02</v>
      </c>
      <c r="D298" s="4">
        <v>86.5</v>
      </c>
      <c r="E298" s="7" t="str">
        <f>if(C298&gt;statistics_analysis!$C$15,"high outlier",if(C298&lt;statistics_analysis!$C$14,"low outlier","normal"))</f>
        <v>normal</v>
      </c>
    </row>
    <row r="299">
      <c r="A299" s="3" t="s">
        <v>291</v>
      </c>
      <c r="B299" s="3">
        <v>5.0</v>
      </c>
      <c r="C299" s="4">
        <v>27.06</v>
      </c>
      <c r="D299" s="4">
        <v>109.2</v>
      </c>
      <c r="E299" s="7" t="str">
        <f>if(C299&gt;statistics_analysis!$C$15,"high outlier",if(C299&lt;statistics_analysis!$C$14,"low outlier","normal"))</f>
        <v>normal</v>
      </c>
    </row>
    <row r="300">
      <c r="A300" s="3" t="s">
        <v>292</v>
      </c>
      <c r="B300" s="3">
        <v>6.0</v>
      </c>
      <c r="C300" s="4">
        <v>3.09</v>
      </c>
      <c r="D300" s="4">
        <v>94.8</v>
      </c>
      <c r="E300" s="7" t="str">
        <f>if(C300&gt;statistics_analysis!$C$15,"high outlier",if(C300&lt;statistics_analysis!$C$14,"low outlier","normal"))</f>
        <v>normal</v>
      </c>
    </row>
    <row r="301">
      <c r="A301" s="3" t="s">
        <v>293</v>
      </c>
      <c r="B301" s="3">
        <v>4.0</v>
      </c>
      <c r="C301" s="4">
        <v>9.45</v>
      </c>
      <c r="D301" s="4">
        <v>140.3</v>
      </c>
      <c r="E301" s="7" t="str">
        <f>if(C301&gt;statistics_analysis!$C$15,"high outlier",if(C301&lt;statistics_analysis!$C$14,"low outlier","normal"))</f>
        <v>normal</v>
      </c>
    </row>
    <row r="302">
      <c r="A302" s="3" t="s">
        <v>294</v>
      </c>
      <c r="B302" s="3">
        <v>5.0</v>
      </c>
      <c r="C302" s="4">
        <v>11.35</v>
      </c>
      <c r="D302" s="4">
        <v>122.4</v>
      </c>
      <c r="E302" s="7" t="str">
        <f>if(C302&gt;statistics_analysis!$C$15,"high outlier",if(C302&lt;statistics_analysis!$C$14,"low outlier","normal"))</f>
        <v>normal</v>
      </c>
    </row>
    <row r="303">
      <c r="A303" s="3" t="s">
        <v>295</v>
      </c>
      <c r="B303" s="3">
        <v>6.0</v>
      </c>
      <c r="C303" s="4">
        <v>3.82</v>
      </c>
      <c r="D303" s="4">
        <v>99.6</v>
      </c>
      <c r="E303" s="7" t="str">
        <f>if(C303&gt;statistics_analysis!$C$15,"high outlier",if(C303&lt;statistics_analysis!$C$14,"low outlier","normal"))</f>
        <v>normal</v>
      </c>
    </row>
    <row r="304">
      <c r="A304" s="3" t="s">
        <v>296</v>
      </c>
      <c r="B304" s="3">
        <v>3.0</v>
      </c>
      <c r="C304" s="4">
        <v>18.85</v>
      </c>
      <c r="D304" s="4">
        <v>149.9</v>
      </c>
      <c r="E304" s="7" t="str">
        <f>if(C304&gt;statistics_analysis!$C$15,"high outlier",if(C304&lt;statistics_analysis!$C$14,"low outlier","normal"))</f>
        <v>normal</v>
      </c>
    </row>
    <row r="305">
      <c r="A305" s="3" t="s">
        <v>297</v>
      </c>
      <c r="B305" s="3">
        <v>7.0</v>
      </c>
      <c r="C305" s="4">
        <v>29.41</v>
      </c>
      <c r="D305" s="4">
        <v>127.6</v>
      </c>
      <c r="E305" s="7" t="str">
        <f>if(C305&gt;statistics_analysis!$C$15,"high outlier",if(C305&lt;statistics_analysis!$C$14,"low outlier","normal"))</f>
        <v>normal</v>
      </c>
    </row>
    <row r="306">
      <c r="A306" s="3" t="s">
        <v>298</v>
      </c>
      <c r="B306" s="3">
        <v>7.0</v>
      </c>
      <c r="C306" s="4">
        <v>21.62</v>
      </c>
      <c r="D306" s="4">
        <v>64.6</v>
      </c>
      <c r="E306" s="7" t="str">
        <f>if(C306&gt;statistics_analysis!$C$15,"high outlier",if(C306&lt;statistics_analysis!$C$14,"low outlier","normal"))</f>
        <v>normal</v>
      </c>
    </row>
    <row r="307">
      <c r="A307" s="3" t="s">
        <v>299</v>
      </c>
      <c r="B307" s="3">
        <v>8.0</v>
      </c>
      <c r="C307" s="4">
        <v>13.43</v>
      </c>
      <c r="D307" s="4">
        <v>147.6</v>
      </c>
      <c r="E307" s="7" t="str">
        <f>if(C307&gt;statistics_analysis!$C$15,"high outlier",if(C307&lt;statistics_analysis!$C$14,"low outlier","normal"))</f>
        <v>normal</v>
      </c>
    </row>
    <row r="308">
      <c r="A308" s="3" t="s">
        <v>300</v>
      </c>
      <c r="B308" s="3">
        <v>4.0</v>
      </c>
      <c r="C308" s="4">
        <v>3.25</v>
      </c>
      <c r="D308" s="4">
        <v>125.5</v>
      </c>
      <c r="E308" s="7" t="str">
        <f>if(C308&gt;statistics_analysis!$C$15,"high outlier",if(C308&lt;statistics_analysis!$C$14,"low outlier","normal"))</f>
        <v>normal</v>
      </c>
    </row>
    <row r="309">
      <c r="A309" s="3" t="s">
        <v>301</v>
      </c>
      <c r="B309" s="3">
        <v>7.0</v>
      </c>
      <c r="C309" s="4">
        <v>3.31</v>
      </c>
      <c r="D309" s="4">
        <v>161.7</v>
      </c>
      <c r="E309" s="7" t="str">
        <f>if(C309&gt;statistics_analysis!$C$15,"high outlier",if(C309&lt;statistics_analysis!$C$14,"low outlier","normal"))</f>
        <v>normal</v>
      </c>
    </row>
    <row r="310">
      <c r="A310" s="3" t="s">
        <v>302</v>
      </c>
      <c r="B310" s="3">
        <v>3.0</v>
      </c>
      <c r="C310" s="4">
        <v>33.07</v>
      </c>
      <c r="D310" s="4">
        <v>123.7</v>
      </c>
      <c r="E310" s="7" t="str">
        <f>if(C310&gt;statistics_analysis!$C$15,"high outlier",if(C310&lt;statistics_analysis!$C$14,"low outlier","normal"))</f>
        <v>high outlier</v>
      </c>
    </row>
    <row r="311">
      <c r="A311" s="3" t="s">
        <v>303</v>
      </c>
      <c r="B311" s="3">
        <v>4.0</v>
      </c>
      <c r="C311" s="4">
        <v>0.1</v>
      </c>
      <c r="D311" s="4">
        <v>96.2</v>
      </c>
      <c r="E311" s="7" t="str">
        <f>if(C311&gt;statistics_analysis!$C$15,"high outlier",if(C311&lt;statistics_analysis!$C$14,"low outlier","normal"))</f>
        <v>normal</v>
      </c>
    </row>
    <row r="312">
      <c r="A312" s="3" t="s">
        <v>304</v>
      </c>
      <c r="B312" s="3">
        <v>4.0</v>
      </c>
      <c r="C312" s="4">
        <v>12.59</v>
      </c>
      <c r="D312" s="4">
        <v>113.9</v>
      </c>
      <c r="E312" s="7" t="str">
        <f>if(C312&gt;statistics_analysis!$C$15,"high outlier",if(C312&lt;statistics_analysis!$C$14,"low outlier","normal"))</f>
        <v>normal</v>
      </c>
    </row>
    <row r="313">
      <c r="A313" s="3" t="s">
        <v>305</v>
      </c>
      <c r="B313" s="3">
        <v>0.0</v>
      </c>
      <c r="C313" s="4">
        <v>12.25</v>
      </c>
      <c r="D313" s="4">
        <v>144.1</v>
      </c>
      <c r="E313" s="7" t="str">
        <f>if(C313&gt;statistics_analysis!$C$15,"high outlier",if(C313&lt;statistics_analysis!$C$14,"low outlier","normal"))</f>
        <v>normal</v>
      </c>
    </row>
    <row r="314">
      <c r="A314" s="3" t="s">
        <v>306</v>
      </c>
      <c r="B314" s="3">
        <v>1.0</v>
      </c>
      <c r="C314" s="4">
        <v>9.75</v>
      </c>
      <c r="D314" s="4">
        <v>96.9</v>
      </c>
      <c r="E314" s="7" t="str">
        <f>if(C314&gt;statistics_analysis!$C$15,"high outlier",if(C314&lt;statistics_analysis!$C$14,"low outlier","normal"))</f>
        <v>normal</v>
      </c>
    </row>
    <row r="315">
      <c r="A315" s="3" t="s">
        <v>307</v>
      </c>
      <c r="B315" s="3">
        <v>1.0</v>
      </c>
      <c r="C315" s="4">
        <v>46.16</v>
      </c>
      <c r="D315" s="4">
        <v>106.8</v>
      </c>
      <c r="E315" s="7" t="str">
        <f>if(C315&gt;statistics_analysis!$C$15,"high outlier",if(C315&lt;statistics_analysis!$C$14,"low outlier","normal"))</f>
        <v>high outlier</v>
      </c>
    </row>
    <row r="316">
      <c r="A316" s="3" t="s">
        <v>308</v>
      </c>
      <c r="B316" s="3">
        <v>7.0</v>
      </c>
      <c r="C316" s="4">
        <v>3.74</v>
      </c>
      <c r="D316" s="4">
        <v>113.3</v>
      </c>
      <c r="E316" s="7" t="str">
        <f>if(C316&gt;statistics_analysis!$C$15,"high outlier",if(C316&lt;statistics_analysis!$C$14,"low outlier","normal"))</f>
        <v>normal</v>
      </c>
    </row>
    <row r="317">
      <c r="A317" s="3" t="s">
        <v>309</v>
      </c>
      <c r="B317" s="3">
        <v>5.0</v>
      </c>
      <c r="C317" s="4">
        <v>4.15</v>
      </c>
      <c r="D317" s="4">
        <v>85.5</v>
      </c>
      <c r="E317" s="7" t="str">
        <f>if(C317&gt;statistics_analysis!$C$15,"high outlier",if(C317&lt;statistics_analysis!$C$14,"low outlier","normal"))</f>
        <v>normal</v>
      </c>
    </row>
    <row r="318">
      <c r="A318" s="3">
        <v>4.1859815E7</v>
      </c>
      <c r="B318" s="3">
        <v>5.0</v>
      </c>
      <c r="C318" s="4">
        <v>0.82</v>
      </c>
      <c r="D318" s="4">
        <v>97.3</v>
      </c>
      <c r="E318" s="7" t="str">
        <f>if(C318&gt;statistics_analysis!$C$15,"high outlier",if(C318&lt;statistics_analysis!$C$14,"low outlier","normal"))</f>
        <v>normal</v>
      </c>
    </row>
    <row r="319">
      <c r="A319" s="3" t="s">
        <v>310</v>
      </c>
      <c r="B319" s="3">
        <v>8.0</v>
      </c>
      <c r="C319" s="4">
        <v>5.85</v>
      </c>
      <c r="D319" s="4">
        <v>125.2</v>
      </c>
      <c r="E319" s="7" t="str">
        <f>if(C319&gt;statistics_analysis!$C$15,"high outlier",if(C319&lt;statistics_analysis!$C$14,"low outlier","normal"))</f>
        <v>normal</v>
      </c>
    </row>
    <row r="320">
      <c r="A320" s="3" t="s">
        <v>311</v>
      </c>
      <c r="B320" s="3">
        <v>3.0</v>
      </c>
      <c r="C320" s="4">
        <v>3.03</v>
      </c>
      <c r="D320" s="4">
        <v>156.1</v>
      </c>
      <c r="E320" s="7" t="str">
        <f>if(C320&gt;statistics_analysis!$C$15,"high outlier",if(C320&lt;statistics_analysis!$C$14,"low outlier","normal"))</f>
        <v>normal</v>
      </c>
    </row>
    <row r="321">
      <c r="A321" s="3" t="s">
        <v>312</v>
      </c>
      <c r="B321" s="3">
        <v>5.0</v>
      </c>
      <c r="C321" s="4">
        <v>4.21</v>
      </c>
      <c r="D321" s="4">
        <v>129.5</v>
      </c>
      <c r="E321" s="7" t="str">
        <f>if(C321&gt;statistics_analysis!$C$15,"high outlier",if(C321&lt;statistics_analysis!$C$14,"low outlier","normal"))</f>
        <v>normal</v>
      </c>
    </row>
    <row r="322">
      <c r="A322" s="3" t="s">
        <v>313</v>
      </c>
      <c r="B322" s="3">
        <v>3.0</v>
      </c>
      <c r="C322" s="4">
        <v>17.99</v>
      </c>
      <c r="D322" s="4">
        <v>118.6</v>
      </c>
      <c r="E322" s="7" t="str">
        <f>if(C322&gt;statistics_analysis!$C$15,"high outlier",if(C322&lt;statistics_analysis!$C$14,"low outlier","normal"))</f>
        <v>normal</v>
      </c>
    </row>
    <row r="323">
      <c r="A323" s="3" t="s">
        <v>314</v>
      </c>
      <c r="B323" s="3">
        <v>5.0</v>
      </c>
      <c r="C323" s="4">
        <v>27.41</v>
      </c>
      <c r="D323" s="4">
        <v>95.1</v>
      </c>
      <c r="E323" s="7" t="str">
        <f>if(C323&gt;statistics_analysis!$C$15,"high outlier",if(C323&lt;statistics_analysis!$C$14,"low outlier","normal"))</f>
        <v>normal</v>
      </c>
    </row>
    <row r="324">
      <c r="A324" s="3" t="s">
        <v>315</v>
      </c>
      <c r="B324" s="3">
        <v>1.0</v>
      </c>
      <c r="C324" s="4">
        <v>2.05</v>
      </c>
      <c r="D324" s="4">
        <v>152.9</v>
      </c>
      <c r="E324" s="7" t="str">
        <f>if(C324&gt;statistics_analysis!$C$15,"high outlier",if(C324&lt;statistics_analysis!$C$14,"low outlier","normal"))</f>
        <v>normal</v>
      </c>
    </row>
    <row r="325">
      <c r="A325" s="3" t="s">
        <v>316</v>
      </c>
      <c r="B325" s="3">
        <v>7.0</v>
      </c>
      <c r="C325" s="4">
        <v>4.66</v>
      </c>
      <c r="D325" s="4">
        <v>133.0</v>
      </c>
      <c r="E325" s="7" t="str">
        <f>if(C325&gt;statistics_analysis!$C$15,"high outlier",if(C325&lt;statistics_analysis!$C$14,"low outlier","normal"))</f>
        <v>normal</v>
      </c>
    </row>
    <row r="326">
      <c r="A326" s="3" t="s">
        <v>317</v>
      </c>
      <c r="B326" s="3">
        <v>2.0</v>
      </c>
      <c r="C326" s="4">
        <v>26.4</v>
      </c>
      <c r="D326" s="4">
        <v>98.8</v>
      </c>
      <c r="E326" s="7" t="str">
        <f>if(C326&gt;statistics_analysis!$C$15,"high outlier",if(C326&lt;statistics_analysis!$C$14,"low outlier","normal"))</f>
        <v>normal</v>
      </c>
    </row>
    <row r="327">
      <c r="A327" s="3" t="s">
        <v>318</v>
      </c>
      <c r="B327" s="3">
        <v>4.0</v>
      </c>
      <c r="C327" s="4">
        <v>0.64</v>
      </c>
      <c r="D327" s="4">
        <v>147.0</v>
      </c>
      <c r="E327" s="7" t="str">
        <f>if(C327&gt;statistics_analysis!$C$15,"high outlier",if(C327&lt;statistics_analysis!$C$14,"low outlier","normal"))</f>
        <v>normal</v>
      </c>
    </row>
    <row r="328">
      <c r="A328" s="3" t="s">
        <v>319</v>
      </c>
      <c r="B328" s="3">
        <v>6.0</v>
      </c>
      <c r="C328" s="4">
        <v>0.97</v>
      </c>
      <c r="D328" s="4">
        <v>136.8</v>
      </c>
      <c r="E328" s="7" t="str">
        <f>if(C328&gt;statistics_analysis!$C$15,"high outlier",if(C328&lt;statistics_analysis!$C$14,"low outlier","normal"))</f>
        <v>normal</v>
      </c>
    </row>
    <row r="329">
      <c r="A329" s="3" t="s">
        <v>320</v>
      </c>
      <c r="B329" s="3">
        <v>7.0</v>
      </c>
      <c r="C329" s="4">
        <v>1.78</v>
      </c>
      <c r="D329" s="4">
        <v>95.6</v>
      </c>
      <c r="E329" s="7" t="str">
        <f>if(C329&gt;statistics_analysis!$C$15,"high outlier",if(C329&lt;statistics_analysis!$C$14,"low outlier","normal"))</f>
        <v>normal</v>
      </c>
    </row>
    <row r="330">
      <c r="A330" s="3" t="s">
        <v>321</v>
      </c>
      <c r="B330" s="3">
        <v>9.0</v>
      </c>
      <c r="C330" s="4">
        <v>9.04</v>
      </c>
      <c r="D330" s="4">
        <v>117.0</v>
      </c>
      <c r="E330" s="7" t="str">
        <f>if(C330&gt;statistics_analysis!$C$15,"high outlier",if(C330&lt;statistics_analysis!$C$14,"low outlier","normal"))</f>
        <v>normal</v>
      </c>
    </row>
    <row r="331">
      <c r="A331" s="3" t="s">
        <v>322</v>
      </c>
      <c r="B331" s="3">
        <v>4.0</v>
      </c>
      <c r="C331" s="4">
        <v>1.63</v>
      </c>
      <c r="D331" s="4">
        <v>105.2</v>
      </c>
      <c r="E331" s="7" t="str">
        <f>if(C331&gt;statistics_analysis!$C$15,"high outlier",if(C331&lt;statistics_analysis!$C$14,"low outlier","normal"))</f>
        <v>normal</v>
      </c>
    </row>
    <row r="332">
      <c r="A332" s="3" t="s">
        <v>323</v>
      </c>
      <c r="B332" s="3">
        <v>1.0</v>
      </c>
      <c r="C332" s="4">
        <v>34.44</v>
      </c>
      <c r="D332" s="4">
        <v>199.0</v>
      </c>
      <c r="E332" s="7" t="str">
        <f>if(C332&gt;statistics_analysis!$C$15,"high outlier",if(C332&lt;statistics_analysis!$C$14,"low outlier","normal"))</f>
        <v>high outlier</v>
      </c>
    </row>
    <row r="333">
      <c r="A333" s="3" t="s">
        <v>324</v>
      </c>
      <c r="B333" s="3">
        <v>4.0</v>
      </c>
      <c r="C333" s="4">
        <v>5.92</v>
      </c>
      <c r="D333" s="4">
        <v>136.0</v>
      </c>
      <c r="E333" s="7" t="str">
        <f>if(C333&gt;statistics_analysis!$C$15,"high outlier",if(C333&lt;statistics_analysis!$C$14,"low outlier","normal"))</f>
        <v>normal</v>
      </c>
    </row>
    <row r="334">
      <c r="A334" s="3" t="s">
        <v>325</v>
      </c>
      <c r="B334" s="3">
        <v>6.0</v>
      </c>
      <c r="C334" s="4">
        <v>6.96</v>
      </c>
      <c r="D334" s="4">
        <v>125.6</v>
      </c>
      <c r="E334" s="7" t="str">
        <f>if(C334&gt;statistics_analysis!$C$15,"high outlier",if(C334&lt;statistics_analysis!$C$14,"low outlier","normal"))</f>
        <v>normal</v>
      </c>
    </row>
    <row r="335">
      <c r="A335" s="3" t="s">
        <v>326</v>
      </c>
      <c r="B335" s="3">
        <v>3.0</v>
      </c>
      <c r="C335" s="4">
        <v>2.83</v>
      </c>
      <c r="D335" s="4">
        <v>134.2</v>
      </c>
      <c r="E335" s="7" t="str">
        <f>if(C335&gt;statistics_analysis!$C$15,"high outlier",if(C335&lt;statistics_analysis!$C$14,"low outlier","normal"))</f>
        <v>normal</v>
      </c>
    </row>
    <row r="336">
      <c r="A336" s="3" t="s">
        <v>327</v>
      </c>
      <c r="B336" s="3">
        <v>4.0</v>
      </c>
      <c r="C336" s="4">
        <v>6.37</v>
      </c>
      <c r="D336" s="4">
        <v>161.4</v>
      </c>
      <c r="E336" s="7" t="str">
        <f>if(C336&gt;statistics_analysis!$C$15,"high outlier",if(C336&lt;statistics_analysis!$C$14,"low outlier","normal"))</f>
        <v>normal</v>
      </c>
    </row>
    <row r="337">
      <c r="A337" s="3" t="s">
        <v>328</v>
      </c>
      <c r="B337" s="3">
        <v>2.0</v>
      </c>
      <c r="C337" s="4">
        <v>10.84</v>
      </c>
      <c r="D337" s="4">
        <v>117.5</v>
      </c>
      <c r="E337" s="7" t="str">
        <f>if(C337&gt;statistics_analysis!$C$15,"high outlier",if(C337&lt;statistics_analysis!$C$14,"low outlier","normal"))</f>
        <v>normal</v>
      </c>
    </row>
    <row r="338">
      <c r="A338" s="3" t="s">
        <v>329</v>
      </c>
      <c r="B338" s="3">
        <v>6.0</v>
      </c>
      <c r="C338" s="4">
        <v>13.91</v>
      </c>
      <c r="D338" s="4">
        <v>102.3</v>
      </c>
      <c r="E338" s="7" t="str">
        <f>if(C338&gt;statistics_analysis!$C$15,"high outlier",if(C338&lt;statistics_analysis!$C$14,"low outlier","normal"))</f>
        <v>normal</v>
      </c>
    </row>
    <row r="339">
      <c r="A339" s="3" t="s">
        <v>330</v>
      </c>
      <c r="B339" s="3">
        <v>8.0</v>
      </c>
      <c r="C339" s="4">
        <v>14.02</v>
      </c>
      <c r="D339" s="4">
        <v>145.3</v>
      </c>
      <c r="E339" s="7" t="str">
        <f>if(C339&gt;statistics_analysis!$C$15,"high outlier",if(C339&lt;statistics_analysis!$C$14,"low outlier","normal"))</f>
        <v>normal</v>
      </c>
    </row>
    <row r="340">
      <c r="A340" s="3" t="s">
        <v>331</v>
      </c>
      <c r="B340" s="3">
        <v>7.0</v>
      </c>
      <c r="C340" s="4">
        <v>8.62</v>
      </c>
      <c r="D340" s="4">
        <v>114.8</v>
      </c>
      <c r="E340" s="7" t="str">
        <f>if(C340&gt;statistics_analysis!$C$15,"high outlier",if(C340&lt;statistics_analysis!$C$14,"low outlier","normal"))</f>
        <v>normal</v>
      </c>
    </row>
    <row r="341">
      <c r="A341" s="3" t="s">
        <v>332</v>
      </c>
      <c r="B341" s="3">
        <v>2.0</v>
      </c>
      <c r="C341" s="4">
        <v>23.47</v>
      </c>
      <c r="D341" s="4">
        <v>87.9</v>
      </c>
      <c r="E341" s="7" t="str">
        <f>if(C341&gt;statistics_analysis!$C$15,"high outlier",if(C341&lt;statistics_analysis!$C$14,"low outlier","normal"))</f>
        <v>normal</v>
      </c>
    </row>
    <row r="342">
      <c r="A342" s="3" t="s">
        <v>333</v>
      </c>
      <c r="B342" s="3">
        <v>6.0</v>
      </c>
      <c r="C342" s="4">
        <v>17.01</v>
      </c>
      <c r="D342" s="4">
        <v>82.1</v>
      </c>
      <c r="E342" s="7" t="str">
        <f>if(C342&gt;statistics_analysis!$C$15,"high outlier",if(C342&lt;statistics_analysis!$C$14,"low outlier","normal"))</f>
        <v>normal</v>
      </c>
    </row>
    <row r="343">
      <c r="A343" s="3" t="s">
        <v>334</v>
      </c>
      <c r="B343" s="3">
        <v>9.0</v>
      </c>
      <c r="C343" s="4">
        <v>14.15</v>
      </c>
      <c r="D343" s="4">
        <v>165.9</v>
      </c>
      <c r="E343" s="7" t="str">
        <f>if(C343&gt;statistics_analysis!$C$15,"high outlier",if(C343&lt;statistics_analysis!$C$14,"low outlier","normal"))</f>
        <v>normal</v>
      </c>
    </row>
    <row r="344">
      <c r="A344" s="3" t="s">
        <v>335</v>
      </c>
      <c r="B344" s="3">
        <v>3.0</v>
      </c>
      <c r="C344" s="4">
        <v>0.57</v>
      </c>
      <c r="D344" s="4">
        <v>123.9</v>
      </c>
      <c r="E344" s="7" t="str">
        <f>if(C344&gt;statistics_analysis!$C$15,"high outlier",if(C344&lt;statistics_analysis!$C$14,"low outlier","normal"))</f>
        <v>normal</v>
      </c>
    </row>
    <row r="345">
      <c r="A345" s="3" t="s">
        <v>336</v>
      </c>
      <c r="B345" s="3">
        <v>8.0</v>
      </c>
      <c r="C345" s="4">
        <v>0.07</v>
      </c>
      <c r="D345" s="4">
        <v>102.3</v>
      </c>
      <c r="E345" s="7" t="str">
        <f>if(C345&gt;statistics_analysis!$C$15,"high outlier",if(C345&lt;statistics_analysis!$C$14,"low outlier","normal"))</f>
        <v>normal</v>
      </c>
    </row>
    <row r="346">
      <c r="A346" s="3" t="s">
        <v>337</v>
      </c>
      <c r="B346" s="3">
        <v>7.0</v>
      </c>
      <c r="C346" s="4">
        <v>2.39</v>
      </c>
      <c r="D346" s="4">
        <v>113.0</v>
      </c>
      <c r="E346" s="7" t="str">
        <f>if(C346&gt;statistics_analysis!$C$15,"high outlier",if(C346&lt;statistics_analysis!$C$14,"low outlier","normal"))</f>
        <v>normal</v>
      </c>
    </row>
    <row r="347">
      <c r="A347" s="3" t="s">
        <v>338</v>
      </c>
      <c r="B347" s="3">
        <v>6.0</v>
      </c>
      <c r="C347" s="4">
        <v>10.89</v>
      </c>
      <c r="D347" s="4">
        <v>144.2</v>
      </c>
      <c r="E347" s="7" t="str">
        <f>if(C347&gt;statistics_analysis!$C$15,"high outlier",if(C347&lt;statistics_analysis!$C$14,"low outlier","normal"))</f>
        <v>normal</v>
      </c>
    </row>
    <row r="348">
      <c r="A348" s="3" t="s">
        <v>339</v>
      </c>
      <c r="B348" s="3">
        <v>10.0</v>
      </c>
      <c r="C348" s="4">
        <v>5.3</v>
      </c>
      <c r="D348" s="4">
        <v>111.2</v>
      </c>
      <c r="E348" s="7" t="str">
        <f>if(C348&gt;statistics_analysis!$C$15,"high outlier",if(C348&lt;statistics_analysis!$C$14,"low outlier","normal"))</f>
        <v>normal</v>
      </c>
    </row>
    <row r="349">
      <c r="A349" s="3" t="s">
        <v>340</v>
      </c>
      <c r="B349" s="3">
        <v>5.0</v>
      </c>
      <c r="C349" s="4">
        <v>5.15</v>
      </c>
      <c r="D349" s="4">
        <v>76.5</v>
      </c>
      <c r="E349" s="7" t="str">
        <f>if(C349&gt;statistics_analysis!$C$15,"high outlier",if(C349&lt;statistics_analysis!$C$14,"low outlier","normal"))</f>
        <v>normal</v>
      </c>
    </row>
    <row r="350">
      <c r="A350" s="3" t="s">
        <v>341</v>
      </c>
      <c r="B350" s="3">
        <v>5.0</v>
      </c>
      <c r="C350" s="4">
        <v>21.59</v>
      </c>
      <c r="D350" s="4">
        <v>129.8</v>
      </c>
      <c r="E350" s="7" t="str">
        <f>if(C350&gt;statistics_analysis!$C$15,"high outlier",if(C350&lt;statistics_analysis!$C$14,"low outlier","normal"))</f>
        <v>normal</v>
      </c>
    </row>
    <row r="351">
      <c r="A351" s="3" t="s">
        <v>342</v>
      </c>
      <c r="B351" s="3">
        <v>5.0</v>
      </c>
      <c r="C351" s="4">
        <v>22.59</v>
      </c>
      <c r="D351" s="4">
        <v>156.3</v>
      </c>
      <c r="E351" s="7" t="str">
        <f>if(C351&gt;statistics_analysis!$C$15,"high outlier",if(C351&lt;statistics_analysis!$C$14,"low outlier","normal"))</f>
        <v>normal</v>
      </c>
    </row>
    <row r="352">
      <c r="A352" s="3" t="s">
        <v>343</v>
      </c>
      <c r="B352" s="3">
        <v>5.0</v>
      </c>
      <c r="C352" s="4">
        <v>23.99</v>
      </c>
      <c r="D352" s="4">
        <v>154.2</v>
      </c>
      <c r="E352" s="7" t="str">
        <f>if(C352&gt;statistics_analysis!$C$15,"high outlier",if(C352&lt;statistics_analysis!$C$14,"low outlier","normal"))</f>
        <v>normal</v>
      </c>
    </row>
    <row r="353">
      <c r="A353" s="3" t="s">
        <v>344</v>
      </c>
      <c r="B353" s="3">
        <v>4.0</v>
      </c>
      <c r="C353" s="4">
        <v>3.77</v>
      </c>
      <c r="D353" s="4">
        <v>103.2</v>
      </c>
      <c r="E353" s="7" t="str">
        <f>if(C353&gt;statistics_analysis!$C$15,"high outlier",if(C353&lt;statistics_analysis!$C$14,"low outlier","normal"))</f>
        <v>normal</v>
      </c>
    </row>
    <row r="354">
      <c r="A354" s="3" t="s">
        <v>345</v>
      </c>
      <c r="B354" s="3">
        <v>10.0</v>
      </c>
      <c r="C354" s="4">
        <v>11.75</v>
      </c>
      <c r="D354" s="4">
        <v>158.1</v>
      </c>
      <c r="E354" s="7" t="str">
        <f>if(C354&gt;statistics_analysis!$C$15,"high outlier",if(C354&lt;statistics_analysis!$C$14,"low outlier","normal"))</f>
        <v>normal</v>
      </c>
    </row>
    <row r="355">
      <c r="A355" s="3" t="s">
        <v>346</v>
      </c>
      <c r="B355" s="3">
        <v>3.0</v>
      </c>
      <c r="C355" s="4">
        <v>3.17</v>
      </c>
      <c r="D355" s="4">
        <v>126.4</v>
      </c>
      <c r="E355" s="7" t="str">
        <f>if(C355&gt;statistics_analysis!$C$15,"high outlier",if(C355&lt;statistics_analysis!$C$14,"low outlier","normal"))</f>
        <v>normal</v>
      </c>
    </row>
    <row r="356">
      <c r="A356" s="3" t="s">
        <v>347</v>
      </c>
      <c r="B356" s="3">
        <v>2.0</v>
      </c>
      <c r="C356" s="4">
        <v>2.11</v>
      </c>
      <c r="D356" s="4">
        <v>157.2</v>
      </c>
      <c r="E356" s="7" t="str">
        <f>if(C356&gt;statistics_analysis!$C$15,"high outlier",if(C356&lt;statistics_analysis!$C$14,"low outlier","normal"))</f>
        <v>normal</v>
      </c>
    </row>
    <row r="357">
      <c r="A357" s="3" t="s">
        <v>348</v>
      </c>
      <c r="B357" s="3">
        <v>6.0</v>
      </c>
      <c r="C357" s="4">
        <v>2.04</v>
      </c>
      <c r="D357" s="4">
        <v>137.2</v>
      </c>
      <c r="E357" s="7" t="str">
        <f>if(C357&gt;statistics_analysis!$C$15,"high outlier",if(C357&lt;statistics_analysis!$C$14,"low outlier","normal"))</f>
        <v>normal</v>
      </c>
    </row>
    <row r="358">
      <c r="A358" s="3" t="s">
        <v>349</v>
      </c>
      <c r="B358" s="3">
        <v>4.0</v>
      </c>
      <c r="C358" s="4">
        <v>4.19</v>
      </c>
      <c r="D358" s="4">
        <v>74.4</v>
      </c>
      <c r="E358" s="7" t="str">
        <f>if(C358&gt;statistics_analysis!$C$15,"high outlier",if(C358&lt;statistics_analysis!$C$14,"low outlier","normal"))</f>
        <v>normal</v>
      </c>
    </row>
    <row r="359">
      <c r="A359" s="3" t="s">
        <v>350</v>
      </c>
      <c r="B359" s="3">
        <v>4.0</v>
      </c>
      <c r="C359" s="4">
        <v>5.62</v>
      </c>
      <c r="D359" s="4">
        <v>172.4</v>
      </c>
      <c r="E359" s="7" t="str">
        <f>if(C359&gt;statistics_analysis!$C$15,"high outlier",if(C359&lt;statistics_analysis!$C$14,"low outlier","normal"))</f>
        <v>normal</v>
      </c>
    </row>
    <row r="360">
      <c r="A360" s="3" t="s">
        <v>351</v>
      </c>
      <c r="B360" s="3">
        <v>8.0</v>
      </c>
      <c r="C360" s="4">
        <v>17.78</v>
      </c>
      <c r="D360" s="4">
        <v>121.6</v>
      </c>
      <c r="E360" s="7" t="str">
        <f>if(C360&gt;statistics_analysis!$C$15,"high outlier",if(C360&lt;statistics_analysis!$C$14,"low outlier","normal"))</f>
        <v>normal</v>
      </c>
    </row>
    <row r="361">
      <c r="A361" s="3" t="s">
        <v>352</v>
      </c>
      <c r="B361" s="3">
        <v>5.0</v>
      </c>
      <c r="C361" s="4">
        <v>1.28</v>
      </c>
      <c r="D361" s="4">
        <v>137.3</v>
      </c>
      <c r="E361" s="7" t="str">
        <f>if(C361&gt;statistics_analysis!$C$15,"high outlier",if(C361&lt;statistics_analysis!$C$14,"low outlier","normal"))</f>
        <v>normal</v>
      </c>
    </row>
    <row r="362">
      <c r="A362" s="3" t="s">
        <v>353</v>
      </c>
      <c r="B362" s="3">
        <v>4.0</v>
      </c>
      <c r="C362" s="4">
        <v>13.28</v>
      </c>
      <c r="D362" s="4">
        <v>79.7</v>
      </c>
      <c r="E362" s="7" t="str">
        <f>if(C362&gt;statistics_analysis!$C$15,"high outlier",if(C362&lt;statistics_analysis!$C$14,"low outlier","normal"))</f>
        <v>normal</v>
      </c>
    </row>
    <row r="363">
      <c r="A363" s="3" t="s">
        <v>354</v>
      </c>
      <c r="B363" s="3">
        <v>7.0</v>
      </c>
      <c r="C363" s="4">
        <v>7.58</v>
      </c>
      <c r="D363" s="4">
        <v>135.2</v>
      </c>
      <c r="E363" s="7" t="str">
        <f>if(C363&gt;statistics_analysis!$C$15,"high outlier",if(C363&lt;statistics_analysis!$C$14,"low outlier","normal"))</f>
        <v>normal</v>
      </c>
    </row>
    <row r="364">
      <c r="A364" s="3" t="s">
        <v>355</v>
      </c>
      <c r="B364" s="3">
        <v>4.0</v>
      </c>
      <c r="C364" s="4">
        <v>3.4</v>
      </c>
      <c r="D364" s="4">
        <v>153.1</v>
      </c>
      <c r="E364" s="7" t="str">
        <f>if(C364&gt;statistics_analysis!$C$15,"high outlier",if(C364&lt;statistics_analysis!$C$14,"low outlier","normal"))</f>
        <v>normal</v>
      </c>
    </row>
    <row r="365">
      <c r="A365" s="3" t="s">
        <v>356</v>
      </c>
      <c r="B365" s="3">
        <v>2.0</v>
      </c>
      <c r="C365" s="4">
        <v>6.79</v>
      </c>
      <c r="D365" s="4">
        <v>178.1</v>
      </c>
      <c r="E365" s="7" t="str">
        <f>if(C365&gt;statistics_analysis!$C$15,"high outlier",if(C365&lt;statistics_analysis!$C$14,"low outlier","normal"))</f>
        <v>normal</v>
      </c>
    </row>
    <row r="366">
      <c r="A366" s="3" t="s">
        <v>357</v>
      </c>
      <c r="B366" s="3">
        <v>2.0</v>
      </c>
      <c r="C366" s="4">
        <v>3.57</v>
      </c>
      <c r="D366" s="4">
        <v>162.0</v>
      </c>
      <c r="E366" s="7" t="str">
        <f>if(C366&gt;statistics_analysis!$C$15,"high outlier",if(C366&lt;statistics_analysis!$C$14,"low outlier","normal"))</f>
        <v>normal</v>
      </c>
    </row>
    <row r="367">
      <c r="A367" s="3" t="s">
        <v>358</v>
      </c>
      <c r="B367" s="3">
        <v>3.0</v>
      </c>
      <c r="C367" s="4">
        <v>9.07</v>
      </c>
      <c r="D367" s="4">
        <v>136.6</v>
      </c>
      <c r="E367" s="7" t="str">
        <f>if(C367&gt;statistics_analysis!$C$15,"high outlier",if(C367&lt;statistics_analysis!$C$14,"low outlier","normal"))</f>
        <v>normal</v>
      </c>
    </row>
    <row r="368">
      <c r="A368" s="3" t="s">
        <v>359</v>
      </c>
      <c r="B368" s="3">
        <v>3.0</v>
      </c>
      <c r="C368" s="4">
        <v>5.69</v>
      </c>
      <c r="D368" s="4">
        <v>73.7</v>
      </c>
      <c r="E368" s="7" t="str">
        <f>if(C368&gt;statistics_analysis!$C$15,"high outlier",if(C368&lt;statistics_analysis!$C$14,"low outlier","normal"))</f>
        <v>normal</v>
      </c>
    </row>
    <row r="369">
      <c r="A369" s="3" t="s">
        <v>360</v>
      </c>
      <c r="B369" s="3">
        <v>8.0</v>
      </c>
      <c r="C369" s="4">
        <v>1.8</v>
      </c>
      <c r="D369" s="4">
        <v>124.0</v>
      </c>
      <c r="E369" s="7" t="str">
        <f>if(C369&gt;statistics_analysis!$C$15,"high outlier",if(C369&lt;statistics_analysis!$C$14,"low outlier","normal"))</f>
        <v>normal</v>
      </c>
    </row>
    <row r="370">
      <c r="A370" s="3" t="s">
        <v>361</v>
      </c>
      <c r="B370" s="3">
        <v>6.0</v>
      </c>
      <c r="C370" s="4">
        <v>1.24</v>
      </c>
      <c r="D370" s="4">
        <v>102.2</v>
      </c>
      <c r="E370" s="7" t="str">
        <f>if(C370&gt;statistics_analysis!$C$15,"high outlier",if(C370&lt;statistics_analysis!$C$14,"low outlier","normal"))</f>
        <v>normal</v>
      </c>
    </row>
    <row r="371">
      <c r="A371" s="3" t="s">
        <v>362</v>
      </c>
      <c r="B371" s="3">
        <v>0.0</v>
      </c>
      <c r="C371" s="4">
        <v>7.91</v>
      </c>
      <c r="D371" s="4">
        <v>127.0</v>
      </c>
      <c r="E371" s="7" t="str">
        <f>if(C371&gt;statistics_analysis!$C$15,"high outlier",if(C371&lt;statistics_analysis!$C$14,"low outlier","normal"))</f>
        <v>normal</v>
      </c>
    </row>
    <row r="372">
      <c r="A372" s="3" t="s">
        <v>363</v>
      </c>
      <c r="B372" s="3">
        <v>8.0</v>
      </c>
      <c r="C372" s="4">
        <v>23.27</v>
      </c>
      <c r="D372" s="4">
        <v>83.5</v>
      </c>
      <c r="E372" s="7" t="str">
        <f>if(C372&gt;statistics_analysis!$C$15,"high outlier",if(C372&lt;statistics_analysis!$C$14,"low outlier","normal"))</f>
        <v>normal</v>
      </c>
    </row>
    <row r="373">
      <c r="A373" s="3" t="s">
        <v>364</v>
      </c>
      <c r="B373" s="3">
        <v>5.0</v>
      </c>
      <c r="C373" s="4">
        <v>4.22</v>
      </c>
      <c r="D373" s="4">
        <v>113.7</v>
      </c>
      <c r="E373" s="7" t="str">
        <f>if(C373&gt;statistics_analysis!$C$15,"high outlier",if(C373&lt;statistics_analysis!$C$14,"low outlier","normal"))</f>
        <v>normal</v>
      </c>
    </row>
    <row r="374">
      <c r="A374" s="3" t="s">
        <v>365</v>
      </c>
      <c r="B374" s="3">
        <v>4.0</v>
      </c>
      <c r="C374" s="4">
        <v>13.21</v>
      </c>
      <c r="D374" s="4">
        <v>104.5</v>
      </c>
      <c r="E374" s="7" t="str">
        <f>if(C374&gt;statistics_analysis!$C$15,"high outlier",if(C374&lt;statistics_analysis!$C$14,"low outlier","normal"))</f>
        <v>normal</v>
      </c>
    </row>
    <row r="375">
      <c r="A375" s="3" t="s">
        <v>366</v>
      </c>
      <c r="B375" s="3">
        <v>5.0</v>
      </c>
      <c r="C375" s="4">
        <v>10.75</v>
      </c>
      <c r="D375" s="4">
        <v>103.6</v>
      </c>
      <c r="E375" s="7" t="str">
        <f>if(C375&gt;statistics_analysis!$C$15,"high outlier",if(C375&lt;statistics_analysis!$C$14,"low outlier","normal"))</f>
        <v>normal</v>
      </c>
    </row>
    <row r="376">
      <c r="A376" s="3" t="s">
        <v>367</v>
      </c>
      <c r="B376" s="3">
        <v>7.0</v>
      </c>
      <c r="C376" s="4">
        <v>26.82</v>
      </c>
      <c r="D376" s="4">
        <v>103.9</v>
      </c>
      <c r="E376" s="7" t="str">
        <f>if(C376&gt;statistics_analysis!$C$15,"high outlier",if(C376&lt;statistics_analysis!$C$14,"low outlier","normal"))</f>
        <v>normal</v>
      </c>
    </row>
    <row r="377">
      <c r="A377" s="3" t="s">
        <v>368</v>
      </c>
      <c r="B377" s="3">
        <v>6.0</v>
      </c>
      <c r="C377" s="4">
        <v>17.2</v>
      </c>
      <c r="D377" s="4">
        <v>115.9</v>
      </c>
      <c r="E377" s="7" t="str">
        <f>if(C377&gt;statistics_analysis!$C$15,"high outlier",if(C377&lt;statistics_analysis!$C$14,"low outlier","normal"))</f>
        <v>normal</v>
      </c>
    </row>
    <row r="378">
      <c r="A378" s="3" t="s">
        <v>369</v>
      </c>
      <c r="B378" s="3">
        <v>3.0</v>
      </c>
      <c r="C378" s="4">
        <v>8.36</v>
      </c>
      <c r="D378" s="4">
        <v>128.6</v>
      </c>
      <c r="E378" s="7" t="str">
        <f>if(C378&gt;statistics_analysis!$C$15,"high outlier",if(C378&lt;statistics_analysis!$C$14,"low outlier","normal"))</f>
        <v>normal</v>
      </c>
    </row>
    <row r="379">
      <c r="A379" s="3" t="s">
        <v>370</v>
      </c>
      <c r="B379" s="3">
        <v>4.0</v>
      </c>
      <c r="C379" s="4">
        <v>10.7</v>
      </c>
      <c r="D379" s="4">
        <v>45.0</v>
      </c>
      <c r="E379" s="7" t="str">
        <f>if(C379&gt;statistics_analysis!$C$15,"high outlier",if(C379&lt;statistics_analysis!$C$14,"low outlier","normal"))</f>
        <v>normal</v>
      </c>
    </row>
    <row r="380">
      <c r="A380" s="3" t="s">
        <v>371</v>
      </c>
      <c r="B380" s="3">
        <v>2.0</v>
      </c>
      <c r="C380" s="4">
        <v>22.87</v>
      </c>
      <c r="D380" s="4">
        <v>48.7</v>
      </c>
      <c r="E380" s="7" t="str">
        <f>if(C380&gt;statistics_analysis!$C$15,"high outlier",if(C380&lt;statistics_analysis!$C$14,"low outlier","normal"))</f>
        <v>normal</v>
      </c>
    </row>
    <row r="381">
      <c r="A381" s="3">
        <v>3.0219571E7</v>
      </c>
      <c r="B381" s="3">
        <v>4.0</v>
      </c>
      <c r="C381" s="4">
        <v>5.1</v>
      </c>
      <c r="D381" s="4">
        <v>109.8</v>
      </c>
      <c r="E381" s="7" t="str">
        <f>if(C381&gt;statistics_analysis!$C$15,"high outlier",if(C381&lt;statistics_analysis!$C$14,"low outlier","normal"))</f>
        <v>normal</v>
      </c>
    </row>
    <row r="382">
      <c r="A382" s="3" t="s">
        <v>372</v>
      </c>
      <c r="B382" s="3">
        <v>1.0</v>
      </c>
      <c r="C382" s="4">
        <v>3.96</v>
      </c>
      <c r="D382" s="4">
        <v>114.1</v>
      </c>
      <c r="E382" s="7" t="str">
        <f>if(C382&gt;statistics_analysis!$C$15,"high outlier",if(C382&lt;statistics_analysis!$C$14,"low outlier","normal"))</f>
        <v>normal</v>
      </c>
    </row>
    <row r="383">
      <c r="A383" s="3" t="s">
        <v>373</v>
      </c>
      <c r="B383" s="3">
        <v>9.0</v>
      </c>
      <c r="C383" s="4">
        <v>0.11</v>
      </c>
      <c r="D383" s="4">
        <v>125.7</v>
      </c>
      <c r="E383" s="7" t="str">
        <f>if(C383&gt;statistics_analysis!$C$15,"high outlier",if(C383&lt;statistics_analysis!$C$14,"low outlier","normal"))</f>
        <v>normal</v>
      </c>
    </row>
    <row r="384">
      <c r="A384" s="3" t="s">
        <v>374</v>
      </c>
      <c r="B384" s="3">
        <v>3.0</v>
      </c>
      <c r="C384" s="4">
        <v>17.52</v>
      </c>
      <c r="D384" s="4">
        <v>98.2</v>
      </c>
      <c r="E384" s="7" t="str">
        <f>if(C384&gt;statistics_analysis!$C$15,"high outlier",if(C384&lt;statistics_analysis!$C$14,"low outlier","normal"))</f>
        <v>normal</v>
      </c>
    </row>
    <row r="385">
      <c r="A385" s="3" t="s">
        <v>375</v>
      </c>
      <c r="B385" s="3">
        <v>1.0</v>
      </c>
      <c r="C385" s="4">
        <v>16.14</v>
      </c>
      <c r="D385" s="4">
        <v>120.3</v>
      </c>
      <c r="E385" s="7" t="str">
        <f>if(C385&gt;statistics_analysis!$C$15,"high outlier",if(C385&lt;statistics_analysis!$C$14,"low outlier","normal"))</f>
        <v>normal</v>
      </c>
    </row>
    <row r="386">
      <c r="A386" s="3" t="s">
        <v>376</v>
      </c>
      <c r="B386" s="3">
        <v>5.0</v>
      </c>
      <c r="C386" s="4">
        <v>1.1</v>
      </c>
      <c r="D386" s="4">
        <v>123.8</v>
      </c>
      <c r="E386" s="7" t="str">
        <f>if(C386&gt;statistics_analysis!$C$15,"high outlier",if(C386&lt;statistics_analysis!$C$14,"low outlier","normal"))</f>
        <v>normal</v>
      </c>
    </row>
    <row r="387">
      <c r="A387" s="3" t="s">
        <v>377</v>
      </c>
      <c r="B387" s="3">
        <v>4.0</v>
      </c>
      <c r="C387" s="4">
        <v>8.6</v>
      </c>
      <c r="D387" s="4">
        <v>98.0</v>
      </c>
      <c r="E387" s="7" t="str">
        <f>if(C387&gt;statistics_analysis!$C$15,"high outlier",if(C387&lt;statistics_analysis!$C$14,"low outlier","normal"))</f>
        <v>normal</v>
      </c>
    </row>
    <row r="388">
      <c r="A388" s="3" t="s">
        <v>378</v>
      </c>
      <c r="B388" s="3">
        <v>6.0</v>
      </c>
      <c r="C388" s="4">
        <v>6.24</v>
      </c>
      <c r="D388" s="4">
        <v>150.4</v>
      </c>
      <c r="E388" s="7" t="str">
        <f>if(C388&gt;statistics_analysis!$C$15,"high outlier",if(C388&lt;statistics_analysis!$C$14,"low outlier","normal"))</f>
        <v>normal</v>
      </c>
    </row>
    <row r="389">
      <c r="A389" s="3" t="s">
        <v>379</v>
      </c>
      <c r="B389" s="3">
        <v>5.0</v>
      </c>
      <c r="C389" s="4">
        <v>1.26</v>
      </c>
      <c r="D389" s="4">
        <v>125.3</v>
      </c>
      <c r="E389" s="7" t="str">
        <f>if(C389&gt;statistics_analysis!$C$15,"high outlier",if(C389&lt;statistics_analysis!$C$14,"low outlier","normal"))</f>
        <v>normal</v>
      </c>
    </row>
    <row r="390">
      <c r="A390" s="3" t="s">
        <v>380</v>
      </c>
      <c r="B390" s="3">
        <v>8.0</v>
      </c>
      <c r="C390" s="4">
        <v>39.41</v>
      </c>
      <c r="D390" s="4">
        <v>136.4</v>
      </c>
      <c r="E390" s="7" t="str">
        <f>if(C390&gt;statistics_analysis!$C$15,"high outlier",if(C390&lt;statistics_analysis!$C$14,"low outlier","normal"))</f>
        <v>high outlier</v>
      </c>
    </row>
    <row r="391">
      <c r="A391" s="5">
        <v>2.06458E8</v>
      </c>
      <c r="B391" s="3">
        <v>5.0</v>
      </c>
      <c r="C391" s="4">
        <v>2.42</v>
      </c>
      <c r="D391" s="4">
        <v>122.1</v>
      </c>
      <c r="E391" s="7" t="str">
        <f>if(C391&gt;statistics_analysis!$C$15,"high outlier",if(C391&lt;statistics_analysis!$C$14,"low outlier","normal"))</f>
        <v>normal</v>
      </c>
    </row>
    <row r="392">
      <c r="A392" s="3" t="s">
        <v>381</v>
      </c>
      <c r="B392" s="3">
        <v>7.0</v>
      </c>
      <c r="C392" s="4">
        <v>0.7</v>
      </c>
      <c r="D392" s="4">
        <v>183.1</v>
      </c>
      <c r="E392" s="7" t="str">
        <f>if(C392&gt;statistics_analysis!$C$15,"high outlier",if(C392&lt;statistics_analysis!$C$14,"low outlier","normal"))</f>
        <v>normal</v>
      </c>
    </row>
    <row r="393">
      <c r="A393" s="3" t="s">
        <v>382</v>
      </c>
      <c r="B393" s="3">
        <v>4.0</v>
      </c>
      <c r="C393" s="4">
        <v>9.03</v>
      </c>
      <c r="D393" s="4">
        <v>137.9</v>
      </c>
      <c r="E393" s="7" t="str">
        <f>if(C393&gt;statistics_analysis!$C$15,"high outlier",if(C393&lt;statistics_analysis!$C$14,"low outlier","normal"))</f>
        <v>normal</v>
      </c>
    </row>
    <row r="394">
      <c r="A394" s="3" t="s">
        <v>383</v>
      </c>
      <c r="B394" s="3">
        <v>1.0</v>
      </c>
      <c r="C394" s="4">
        <v>13.43</v>
      </c>
      <c r="D394" s="4">
        <v>105.4</v>
      </c>
      <c r="E394" s="7" t="str">
        <f>if(C394&gt;statistics_analysis!$C$15,"high outlier",if(C394&lt;statistics_analysis!$C$14,"low outlier","normal"))</f>
        <v>normal</v>
      </c>
    </row>
    <row r="395">
      <c r="A395" s="3" t="s">
        <v>384</v>
      </c>
      <c r="B395" s="3">
        <v>5.0</v>
      </c>
      <c r="C395" s="4">
        <v>0.33</v>
      </c>
      <c r="D395" s="4">
        <v>144.6</v>
      </c>
      <c r="E395" s="7" t="str">
        <f>if(C395&gt;statistics_analysis!$C$15,"high outlier",if(C395&lt;statistics_analysis!$C$14,"low outlier","normal"))</f>
        <v>normal</v>
      </c>
    </row>
    <row r="396">
      <c r="A396" s="3" t="s">
        <v>385</v>
      </c>
      <c r="B396" s="3">
        <v>4.0</v>
      </c>
      <c r="C396" s="4">
        <v>10.75</v>
      </c>
      <c r="D396" s="4">
        <v>70.9</v>
      </c>
      <c r="E396" s="7" t="str">
        <f>if(C396&gt;statistics_analysis!$C$15,"high outlier",if(C396&lt;statistics_analysis!$C$14,"low outlier","normal"))</f>
        <v>normal</v>
      </c>
    </row>
    <row r="397">
      <c r="A397" s="3" t="s">
        <v>386</v>
      </c>
      <c r="B397" s="3">
        <v>3.0</v>
      </c>
      <c r="C397" s="4">
        <v>7.6</v>
      </c>
      <c r="D397" s="4">
        <v>123.6</v>
      </c>
      <c r="E397" s="7" t="str">
        <f>if(C397&gt;statistics_analysis!$C$15,"high outlier",if(C397&lt;statistics_analysis!$C$14,"low outlier","normal"))</f>
        <v>normal</v>
      </c>
    </row>
    <row r="398">
      <c r="A398" s="3" t="s">
        <v>387</v>
      </c>
      <c r="B398" s="3">
        <v>2.0</v>
      </c>
      <c r="C398" s="4">
        <v>1.09</v>
      </c>
      <c r="D398" s="4">
        <v>129.6</v>
      </c>
      <c r="E398" s="7" t="str">
        <f>if(C398&gt;statistics_analysis!$C$15,"high outlier",if(C398&lt;statistics_analysis!$C$14,"low outlier","normal"))</f>
        <v>normal</v>
      </c>
    </row>
    <row r="399">
      <c r="A399" s="3" t="s">
        <v>388</v>
      </c>
      <c r="B399" s="3">
        <v>12.0</v>
      </c>
      <c r="C399" s="4">
        <v>1.89</v>
      </c>
      <c r="D399" s="4">
        <v>123.9</v>
      </c>
      <c r="E399" s="7" t="str">
        <f>if(C399&gt;statistics_analysis!$C$15,"high outlier",if(C399&lt;statistics_analysis!$C$14,"low outlier","normal"))</f>
        <v>normal</v>
      </c>
    </row>
    <row r="400">
      <c r="A400" s="3" t="s">
        <v>389</v>
      </c>
      <c r="B400" s="3">
        <v>5.0</v>
      </c>
      <c r="C400" s="4">
        <v>8.39</v>
      </c>
      <c r="D400" s="4">
        <v>110.0</v>
      </c>
      <c r="E400" s="7" t="str">
        <f>if(C400&gt;statistics_analysis!$C$15,"high outlier",if(C400&lt;statistics_analysis!$C$14,"low outlier","normal"))</f>
        <v>normal</v>
      </c>
    </row>
    <row r="401">
      <c r="A401" s="3" t="s">
        <v>390</v>
      </c>
      <c r="B401" s="3">
        <v>10.0</v>
      </c>
      <c r="C401" s="4">
        <v>3.51</v>
      </c>
      <c r="D401" s="4">
        <v>89.6</v>
      </c>
      <c r="E401" s="7" t="str">
        <f>if(C401&gt;statistics_analysis!$C$15,"high outlier",if(C401&lt;statistics_analysis!$C$14,"low outlier","normal"))</f>
        <v>normal</v>
      </c>
    </row>
    <row r="402">
      <c r="A402" s="3" t="s">
        <v>391</v>
      </c>
      <c r="B402" s="3">
        <v>6.0</v>
      </c>
      <c r="C402" s="4">
        <v>27.86</v>
      </c>
      <c r="D402" s="4">
        <v>96.3</v>
      </c>
      <c r="E402" s="7" t="str">
        <f>if(C402&gt;statistics_analysis!$C$15,"high outlier",if(C402&lt;statistics_analysis!$C$14,"low outlier","normal"))</f>
        <v>normal</v>
      </c>
    </row>
    <row r="403">
      <c r="A403" s="3" t="s">
        <v>392</v>
      </c>
      <c r="B403" s="3">
        <v>1.0</v>
      </c>
      <c r="C403" s="4">
        <v>17.08</v>
      </c>
      <c r="D403" s="4">
        <v>123.1</v>
      </c>
      <c r="E403" s="7" t="str">
        <f>if(C403&gt;statistics_analysis!$C$15,"high outlier",if(C403&lt;statistics_analysis!$C$14,"low outlier","normal"))</f>
        <v>normal</v>
      </c>
    </row>
    <row r="404">
      <c r="A404" s="3" t="s">
        <v>393</v>
      </c>
      <c r="B404" s="3">
        <v>6.0</v>
      </c>
      <c r="C404" s="4">
        <v>41.08</v>
      </c>
      <c r="D404" s="4">
        <v>86.6</v>
      </c>
      <c r="E404" s="7" t="str">
        <f>if(C404&gt;statistics_analysis!$C$15,"high outlier",if(C404&lt;statistics_analysis!$C$14,"low outlier","normal"))</f>
        <v>high outlier</v>
      </c>
    </row>
    <row r="405">
      <c r="A405" s="3" t="s">
        <v>394</v>
      </c>
      <c r="B405" s="3">
        <v>2.0</v>
      </c>
      <c r="C405" s="4">
        <v>3.01</v>
      </c>
      <c r="D405" s="4">
        <v>173.1</v>
      </c>
      <c r="E405" s="7" t="str">
        <f>if(C405&gt;statistics_analysis!$C$15,"high outlier",if(C405&lt;statistics_analysis!$C$14,"low outlier","normal"))</f>
        <v>normal</v>
      </c>
    </row>
    <row r="406">
      <c r="A406" s="3" t="s">
        <v>395</v>
      </c>
      <c r="B406" s="3">
        <v>4.0</v>
      </c>
      <c r="C406" s="4">
        <v>34.97</v>
      </c>
      <c r="D406" s="4">
        <v>40.8</v>
      </c>
      <c r="E406" s="7" t="str">
        <f>if(C406&gt;statistics_analysis!$C$15,"high outlier",if(C406&lt;statistics_analysis!$C$14,"low outlier","normal"))</f>
        <v>high outlier</v>
      </c>
    </row>
    <row r="407">
      <c r="A407" s="3" t="s">
        <v>396</v>
      </c>
      <c r="B407" s="3">
        <v>5.0</v>
      </c>
      <c r="C407" s="4">
        <v>5.64</v>
      </c>
      <c r="D407" s="4">
        <v>110.3</v>
      </c>
      <c r="E407" s="7" t="str">
        <f>if(C407&gt;statistics_analysis!$C$15,"high outlier",if(C407&lt;statistics_analysis!$C$14,"low outlier","normal"))</f>
        <v>normal</v>
      </c>
    </row>
    <row r="408">
      <c r="A408" s="3" t="s">
        <v>397</v>
      </c>
      <c r="B408" s="3">
        <v>8.0</v>
      </c>
      <c r="C408" s="4">
        <v>4.27</v>
      </c>
      <c r="D408" s="4">
        <v>123.3</v>
      </c>
      <c r="E408" s="7" t="str">
        <f>if(C408&gt;statistics_analysis!$C$15,"high outlier",if(C408&lt;statistics_analysis!$C$14,"low outlier","normal"))</f>
        <v>normal</v>
      </c>
    </row>
    <row r="409">
      <c r="A409" s="5">
        <v>4.0179E33</v>
      </c>
      <c r="B409" s="3">
        <v>4.0</v>
      </c>
      <c r="C409" s="4">
        <v>0.52</v>
      </c>
      <c r="D409" s="4">
        <v>135.2</v>
      </c>
      <c r="E409" s="7" t="str">
        <f>if(C409&gt;statistics_analysis!$C$15,"high outlier",if(C409&lt;statistics_analysis!$C$14,"low outlier","normal"))</f>
        <v>normal</v>
      </c>
    </row>
    <row r="410">
      <c r="A410" s="3" t="s">
        <v>398</v>
      </c>
      <c r="B410" s="3">
        <v>2.0</v>
      </c>
      <c r="C410" s="4">
        <v>0.54</v>
      </c>
      <c r="D410" s="4">
        <v>92.5</v>
      </c>
      <c r="E410" s="7" t="str">
        <f>if(C410&gt;statistics_analysis!$C$15,"high outlier",if(C410&lt;statistics_analysis!$C$14,"low outlier","normal"))</f>
        <v>normal</v>
      </c>
    </row>
    <row r="411">
      <c r="A411" s="3" t="s">
        <v>399</v>
      </c>
      <c r="B411" s="3">
        <v>1.0</v>
      </c>
      <c r="C411" s="4">
        <v>11.78</v>
      </c>
      <c r="D411" s="4">
        <v>154.0</v>
      </c>
      <c r="E411" s="7" t="str">
        <f>if(C411&gt;statistics_analysis!$C$15,"high outlier",if(C411&lt;statistics_analysis!$C$14,"low outlier","normal"))</f>
        <v>normal</v>
      </c>
    </row>
    <row r="412">
      <c r="A412" s="3" t="s">
        <v>400</v>
      </c>
      <c r="B412" s="3">
        <v>8.0</v>
      </c>
      <c r="C412" s="4">
        <v>6.12</v>
      </c>
      <c r="D412" s="4">
        <v>78.2</v>
      </c>
      <c r="E412" s="7" t="str">
        <f>if(C412&gt;statistics_analysis!$C$15,"high outlier",if(C412&lt;statistics_analysis!$C$14,"low outlier","normal"))</f>
        <v>normal</v>
      </c>
    </row>
    <row r="413">
      <c r="A413" s="3" t="s">
        <v>401</v>
      </c>
      <c r="B413" s="3">
        <v>8.0</v>
      </c>
      <c r="C413" s="4">
        <v>2.57</v>
      </c>
      <c r="D413" s="4">
        <v>103.0</v>
      </c>
      <c r="E413" s="7" t="str">
        <f>if(C413&gt;statistics_analysis!$C$15,"high outlier",if(C413&lt;statistics_analysis!$C$14,"low outlier","normal"))</f>
        <v>normal</v>
      </c>
    </row>
    <row r="414">
      <c r="A414" s="3" t="s">
        <v>402</v>
      </c>
      <c r="B414" s="3">
        <v>4.0</v>
      </c>
      <c r="C414" s="4">
        <v>9.52</v>
      </c>
      <c r="D414" s="4">
        <v>138.6</v>
      </c>
      <c r="E414" s="7" t="str">
        <f>if(C414&gt;statistics_analysis!$C$15,"high outlier",if(C414&lt;statistics_analysis!$C$14,"low outlier","normal"))</f>
        <v>normal</v>
      </c>
    </row>
    <row r="415">
      <c r="A415" s="3" t="s">
        <v>403</v>
      </c>
      <c r="B415" s="3">
        <v>1.0</v>
      </c>
      <c r="C415" s="4">
        <v>2.92</v>
      </c>
      <c r="D415" s="4">
        <v>151.2</v>
      </c>
      <c r="E415" s="7" t="str">
        <f>if(C415&gt;statistics_analysis!$C$15,"high outlier",if(C415&lt;statistics_analysis!$C$14,"low outlier","normal"))</f>
        <v>normal</v>
      </c>
    </row>
    <row r="416">
      <c r="A416" s="3" t="s">
        <v>404</v>
      </c>
      <c r="B416" s="3">
        <v>9.0</v>
      </c>
      <c r="C416" s="4">
        <v>8.62</v>
      </c>
      <c r="D416" s="4">
        <v>77.9</v>
      </c>
      <c r="E416" s="7" t="str">
        <f>if(C416&gt;statistics_analysis!$C$15,"high outlier",if(C416&lt;statistics_analysis!$C$14,"low outlier","normal"))</f>
        <v>normal</v>
      </c>
    </row>
    <row r="417">
      <c r="A417" s="3" t="s">
        <v>405</v>
      </c>
      <c r="B417" s="3">
        <v>4.0</v>
      </c>
      <c r="C417" s="4">
        <v>4.45</v>
      </c>
      <c r="D417" s="4">
        <v>199.4</v>
      </c>
      <c r="E417" s="7" t="str">
        <f>if(C417&gt;statistics_analysis!$C$15,"high outlier",if(C417&lt;statistics_analysis!$C$14,"low outlier","normal"))</f>
        <v>normal</v>
      </c>
    </row>
    <row r="418">
      <c r="A418" s="3" t="s">
        <v>406</v>
      </c>
      <c r="B418" s="3">
        <v>2.0</v>
      </c>
      <c r="C418" s="4">
        <v>17.35</v>
      </c>
      <c r="D418" s="4">
        <v>93.1</v>
      </c>
      <c r="E418" s="7" t="str">
        <f>if(C418&gt;statistics_analysis!$C$15,"high outlier",if(C418&lt;statistics_analysis!$C$14,"low outlier","normal"))</f>
        <v>normal</v>
      </c>
    </row>
    <row r="419">
      <c r="A419" s="3" t="s">
        <v>407</v>
      </c>
      <c r="B419" s="3">
        <v>4.0</v>
      </c>
      <c r="C419" s="4">
        <v>17.19</v>
      </c>
      <c r="D419" s="4">
        <v>80.6</v>
      </c>
      <c r="E419" s="7" t="str">
        <f>if(C419&gt;statistics_analysis!$C$15,"high outlier",if(C419&lt;statistics_analysis!$C$14,"low outlier","normal"))</f>
        <v>normal</v>
      </c>
    </row>
    <row r="420">
      <c r="A420" s="3" t="s">
        <v>408</v>
      </c>
      <c r="B420" s="3">
        <v>3.0</v>
      </c>
      <c r="C420" s="4">
        <v>6.49</v>
      </c>
      <c r="D420" s="4">
        <v>135.1</v>
      </c>
      <c r="E420" s="7" t="str">
        <f>if(C420&gt;statistics_analysis!$C$15,"high outlier",if(C420&lt;statistics_analysis!$C$14,"low outlier","normal"))</f>
        <v>normal</v>
      </c>
    </row>
    <row r="421">
      <c r="A421" s="3" t="s">
        <v>409</v>
      </c>
      <c r="B421" s="3">
        <v>8.0</v>
      </c>
      <c r="C421" s="4">
        <v>4.32</v>
      </c>
      <c r="D421" s="4">
        <v>109.6</v>
      </c>
      <c r="E421" s="7" t="str">
        <f>if(C421&gt;statistics_analysis!$C$15,"high outlier",if(C421&lt;statistics_analysis!$C$14,"low outlier","normal"))</f>
        <v>normal</v>
      </c>
    </row>
    <row r="422">
      <c r="A422" s="3" t="s">
        <v>410</v>
      </c>
      <c r="B422" s="3">
        <v>9.0</v>
      </c>
      <c r="C422" s="4">
        <v>4.5</v>
      </c>
      <c r="D422" s="4">
        <v>105.1</v>
      </c>
      <c r="E422" s="7" t="str">
        <f>if(C422&gt;statistics_analysis!$C$15,"high outlier",if(C422&lt;statistics_analysis!$C$14,"low outlier","normal"))</f>
        <v>normal</v>
      </c>
    </row>
    <row r="423">
      <c r="A423" s="3" t="s">
        <v>411</v>
      </c>
      <c r="B423" s="3">
        <v>4.0</v>
      </c>
      <c r="C423" s="4">
        <v>16.38</v>
      </c>
      <c r="D423" s="4">
        <v>137.9</v>
      </c>
      <c r="E423" s="7" t="str">
        <f>if(C423&gt;statistics_analysis!$C$15,"high outlier",if(C423&lt;statistics_analysis!$C$14,"low outlier","normal"))</f>
        <v>normal</v>
      </c>
    </row>
    <row r="424">
      <c r="A424" s="3" t="s">
        <v>412</v>
      </c>
      <c r="B424" s="3">
        <v>4.0</v>
      </c>
      <c r="C424" s="4">
        <v>3.98</v>
      </c>
      <c r="D424" s="4">
        <v>74.2</v>
      </c>
      <c r="E424" s="7" t="str">
        <f>if(C424&gt;statistics_analysis!$C$15,"high outlier",if(C424&lt;statistics_analysis!$C$14,"low outlier","normal"))</f>
        <v>normal</v>
      </c>
    </row>
    <row r="425">
      <c r="A425" s="3" t="s">
        <v>413</v>
      </c>
      <c r="B425" s="3">
        <v>5.0</v>
      </c>
      <c r="C425" s="4">
        <v>2.35</v>
      </c>
      <c r="D425" s="4">
        <v>68.9</v>
      </c>
      <c r="E425" s="7" t="str">
        <f>if(C425&gt;statistics_analysis!$C$15,"high outlier",if(C425&lt;statistics_analysis!$C$14,"low outlier","normal"))</f>
        <v>normal</v>
      </c>
    </row>
    <row r="426">
      <c r="A426" s="3" t="s">
        <v>414</v>
      </c>
      <c r="B426" s="3">
        <v>11.0</v>
      </c>
      <c r="C426" s="4">
        <v>0.88</v>
      </c>
      <c r="D426" s="4">
        <v>102.1</v>
      </c>
      <c r="E426" s="7" t="str">
        <f>if(C426&gt;statistics_analysis!$C$15,"high outlier",if(C426&lt;statistics_analysis!$C$14,"low outlier","normal"))</f>
        <v>normal</v>
      </c>
    </row>
    <row r="427">
      <c r="A427" s="3" t="s">
        <v>415</v>
      </c>
      <c r="B427" s="3">
        <v>8.0</v>
      </c>
      <c r="C427" s="4">
        <v>6.29</v>
      </c>
      <c r="D427" s="4">
        <v>152.3</v>
      </c>
      <c r="E427" s="7" t="str">
        <f>if(C427&gt;statistics_analysis!$C$15,"high outlier",if(C427&lt;statistics_analysis!$C$14,"low outlier","normal"))</f>
        <v>normal</v>
      </c>
    </row>
    <row r="428">
      <c r="A428" s="3" t="s">
        <v>416</v>
      </c>
      <c r="B428" s="3">
        <v>6.0</v>
      </c>
      <c r="C428" s="4">
        <v>6.58</v>
      </c>
      <c r="D428" s="4">
        <v>103.4</v>
      </c>
      <c r="E428" s="7" t="str">
        <f>if(C428&gt;statistics_analysis!$C$15,"high outlier",if(C428&lt;statistics_analysis!$C$14,"low outlier","normal"))</f>
        <v>normal</v>
      </c>
    </row>
    <row r="429">
      <c r="A429" s="3" t="s">
        <v>417</v>
      </c>
      <c r="B429" s="3">
        <v>2.0</v>
      </c>
      <c r="C429" s="4">
        <v>18.38</v>
      </c>
      <c r="D429" s="4">
        <v>168.0</v>
      </c>
      <c r="E429" s="7" t="str">
        <f>if(C429&gt;statistics_analysis!$C$15,"high outlier",if(C429&lt;statistics_analysis!$C$14,"low outlier","normal"))</f>
        <v>normal</v>
      </c>
    </row>
    <row r="430">
      <c r="A430" s="3" t="s">
        <v>418</v>
      </c>
      <c r="B430" s="3">
        <v>8.0</v>
      </c>
      <c r="C430" s="4">
        <v>2.5</v>
      </c>
      <c r="D430" s="4">
        <v>156.0</v>
      </c>
      <c r="E430" s="7" t="str">
        <f>if(C430&gt;statistics_analysis!$C$15,"high outlier",if(C430&lt;statistics_analysis!$C$14,"low outlier","normal"))</f>
        <v>normal</v>
      </c>
    </row>
    <row r="431">
      <c r="A431" s="3" t="s">
        <v>419</v>
      </c>
      <c r="B431" s="3">
        <v>7.0</v>
      </c>
      <c r="C431" s="4">
        <v>4.8</v>
      </c>
      <c r="D431" s="4">
        <v>128.5</v>
      </c>
      <c r="E431" s="7" t="str">
        <f>if(C431&gt;statistics_analysis!$C$15,"high outlier",if(C431&lt;statistics_analysis!$C$14,"low outlier","normal"))</f>
        <v>normal</v>
      </c>
    </row>
    <row r="432">
      <c r="A432" s="3" t="s">
        <v>420</v>
      </c>
      <c r="B432" s="3">
        <v>6.0</v>
      </c>
      <c r="C432" s="4">
        <v>16.52</v>
      </c>
      <c r="D432" s="4">
        <v>130.2</v>
      </c>
      <c r="E432" s="7" t="str">
        <f>if(C432&gt;statistics_analysis!$C$15,"high outlier",if(C432&lt;statistics_analysis!$C$14,"low outlier","normal"))</f>
        <v>normal</v>
      </c>
    </row>
    <row r="433">
      <c r="A433" s="3" t="s">
        <v>421</v>
      </c>
      <c r="B433" s="3">
        <v>5.0</v>
      </c>
      <c r="C433" s="4">
        <v>17.35</v>
      </c>
      <c r="D433" s="4">
        <v>128.5</v>
      </c>
      <c r="E433" s="7" t="str">
        <f>if(C433&gt;statistics_analysis!$C$15,"high outlier",if(C433&lt;statistics_analysis!$C$14,"low outlier","normal"))</f>
        <v>normal</v>
      </c>
    </row>
    <row r="434">
      <c r="A434" s="3" t="s">
        <v>422</v>
      </c>
      <c r="B434" s="3">
        <v>3.0</v>
      </c>
      <c r="C434" s="4">
        <v>4.86</v>
      </c>
      <c r="D434" s="4">
        <v>124.8</v>
      </c>
      <c r="E434" s="7" t="str">
        <f>if(C434&gt;statistics_analysis!$C$15,"high outlier",if(C434&lt;statistics_analysis!$C$14,"low outlier","normal"))</f>
        <v>normal</v>
      </c>
    </row>
    <row r="435">
      <c r="A435" s="3" t="s">
        <v>423</v>
      </c>
      <c r="B435" s="3">
        <v>5.0</v>
      </c>
      <c r="C435" s="4">
        <v>6.15</v>
      </c>
      <c r="D435" s="4">
        <v>109.0</v>
      </c>
      <c r="E435" s="7" t="str">
        <f>if(C435&gt;statistics_analysis!$C$15,"high outlier",if(C435&lt;statistics_analysis!$C$14,"low outlier","normal"))</f>
        <v>normal</v>
      </c>
    </row>
    <row r="436">
      <c r="A436" s="3" t="s">
        <v>424</v>
      </c>
      <c r="B436" s="3">
        <v>3.0</v>
      </c>
      <c r="C436" s="4">
        <v>3.61</v>
      </c>
      <c r="D436" s="4">
        <v>112.5</v>
      </c>
      <c r="E436" s="7" t="str">
        <f>if(C436&gt;statistics_analysis!$C$15,"high outlier",if(C436&lt;statistics_analysis!$C$14,"low outlier","normal"))</f>
        <v>normal</v>
      </c>
    </row>
    <row r="437">
      <c r="A437" s="3">
        <v>8.3686047E7</v>
      </c>
      <c r="B437" s="3">
        <v>3.0</v>
      </c>
      <c r="C437" s="4">
        <v>26.96</v>
      </c>
      <c r="D437" s="4">
        <v>87.9</v>
      </c>
      <c r="E437" s="7" t="str">
        <f>if(C437&gt;statistics_analysis!$C$15,"high outlier",if(C437&lt;statistics_analysis!$C$14,"low outlier","normal"))</f>
        <v>normal</v>
      </c>
    </row>
    <row r="438">
      <c r="A438" s="3" t="s">
        <v>425</v>
      </c>
      <c r="B438" s="3">
        <v>7.0</v>
      </c>
      <c r="C438" s="4">
        <v>1.26</v>
      </c>
      <c r="D438" s="4">
        <v>53.7</v>
      </c>
      <c r="E438" s="7" t="str">
        <f>if(C438&gt;statistics_analysis!$C$15,"high outlier",if(C438&lt;statistics_analysis!$C$14,"low outlier","normal"))</f>
        <v>normal</v>
      </c>
    </row>
    <row r="439">
      <c r="A439" s="3" t="s">
        <v>426</v>
      </c>
      <c r="B439" s="3">
        <v>4.0</v>
      </c>
      <c r="C439" s="4">
        <v>27.14</v>
      </c>
      <c r="D439" s="4">
        <v>153.1</v>
      </c>
      <c r="E439" s="7" t="str">
        <f>if(C439&gt;statistics_analysis!$C$15,"high outlier",if(C439&lt;statistics_analysis!$C$14,"low outlier","normal"))</f>
        <v>normal</v>
      </c>
    </row>
    <row r="440">
      <c r="A440" s="3" t="s">
        <v>427</v>
      </c>
      <c r="B440" s="3">
        <v>4.0</v>
      </c>
      <c r="C440" s="4">
        <v>11.52</v>
      </c>
      <c r="D440" s="4">
        <v>124.7</v>
      </c>
      <c r="E440" s="7" t="str">
        <f>if(C440&gt;statistics_analysis!$C$15,"high outlier",if(C440&lt;statistics_analysis!$C$14,"low outlier","normal"))</f>
        <v>normal</v>
      </c>
    </row>
    <row r="441">
      <c r="A441" s="3">
        <v>7251235.0</v>
      </c>
      <c r="B441" s="3">
        <v>6.0</v>
      </c>
      <c r="C441" s="4">
        <v>7.58</v>
      </c>
      <c r="D441" s="4">
        <v>120.2</v>
      </c>
      <c r="E441" s="7" t="str">
        <f>if(C441&gt;statistics_analysis!$C$15,"high outlier",if(C441&lt;statistics_analysis!$C$14,"low outlier","normal"))</f>
        <v>normal</v>
      </c>
    </row>
    <row r="442">
      <c r="A442" s="3" t="s">
        <v>428</v>
      </c>
      <c r="B442" s="3">
        <v>6.0</v>
      </c>
      <c r="C442" s="4">
        <v>0.33</v>
      </c>
      <c r="D442" s="4">
        <v>132.0</v>
      </c>
      <c r="E442" s="7" t="str">
        <f>if(C442&gt;statistics_analysis!$C$15,"high outlier",if(C442&lt;statistics_analysis!$C$14,"low outlier","normal"))</f>
        <v>normal</v>
      </c>
    </row>
    <row r="443">
      <c r="A443" s="3" t="s">
        <v>429</v>
      </c>
      <c r="B443" s="3">
        <v>3.0</v>
      </c>
      <c r="C443" s="4">
        <v>6.45</v>
      </c>
      <c r="D443" s="4">
        <v>95.1</v>
      </c>
      <c r="E443" s="7" t="str">
        <f>if(C443&gt;statistics_analysis!$C$15,"high outlier",if(C443&lt;statistics_analysis!$C$14,"low outlier","normal"))</f>
        <v>normal</v>
      </c>
    </row>
    <row r="444">
      <c r="A444" s="3" t="s">
        <v>430</v>
      </c>
      <c r="B444" s="3">
        <v>4.0</v>
      </c>
      <c r="C444" s="4">
        <v>5.24</v>
      </c>
      <c r="D444" s="4">
        <v>90.0</v>
      </c>
      <c r="E444" s="7" t="str">
        <f>if(C444&gt;statistics_analysis!$C$15,"high outlier",if(C444&lt;statistics_analysis!$C$14,"low outlier","normal"))</f>
        <v>normal</v>
      </c>
    </row>
    <row r="445">
      <c r="A445" s="3">
        <v>2.0715541E7</v>
      </c>
      <c r="B445" s="3">
        <v>6.0</v>
      </c>
      <c r="C445" s="4">
        <v>1.76</v>
      </c>
      <c r="D445" s="4">
        <v>111.5</v>
      </c>
      <c r="E445" s="7" t="str">
        <f>if(C445&gt;statistics_analysis!$C$15,"high outlier",if(C445&lt;statistics_analysis!$C$14,"low outlier","normal"))</f>
        <v>normal</v>
      </c>
    </row>
    <row r="446">
      <c r="A446" s="3" t="s">
        <v>431</v>
      </c>
      <c r="B446" s="3">
        <v>6.0</v>
      </c>
      <c r="C446" s="4">
        <v>10.68</v>
      </c>
      <c r="D446" s="4">
        <v>161.0</v>
      </c>
      <c r="E446" s="7" t="str">
        <f>if(C446&gt;statistics_analysis!$C$15,"high outlier",if(C446&lt;statistics_analysis!$C$14,"low outlier","normal"))</f>
        <v>normal</v>
      </c>
    </row>
    <row r="447">
      <c r="A447" s="3" t="s">
        <v>432</v>
      </c>
      <c r="B447" s="3">
        <v>6.0</v>
      </c>
      <c r="C447" s="4">
        <v>35.46</v>
      </c>
      <c r="D447" s="4">
        <v>84.9</v>
      </c>
      <c r="E447" s="7" t="str">
        <f>if(C447&gt;statistics_analysis!$C$15,"high outlier",if(C447&lt;statistics_analysis!$C$14,"low outlier","normal"))</f>
        <v>high outlier</v>
      </c>
    </row>
    <row r="448">
      <c r="A448" s="3" t="s">
        <v>433</v>
      </c>
      <c r="B448" s="3">
        <v>6.0</v>
      </c>
      <c r="C448" s="4">
        <v>8.26</v>
      </c>
      <c r="D448" s="4">
        <v>41.2</v>
      </c>
      <c r="E448" s="7" t="str">
        <f>if(C448&gt;statistics_analysis!$C$15,"high outlier",if(C448&lt;statistics_analysis!$C$14,"low outlier","normal"))</f>
        <v>normal</v>
      </c>
    </row>
    <row r="449">
      <c r="A449" s="3" t="s">
        <v>434</v>
      </c>
      <c r="B449" s="3">
        <v>3.0</v>
      </c>
      <c r="C449" s="4">
        <v>12.54</v>
      </c>
      <c r="D449" s="4">
        <v>104.4</v>
      </c>
      <c r="E449" s="7" t="str">
        <f>if(C449&gt;statistics_analysis!$C$15,"high outlier",if(C449&lt;statistics_analysis!$C$14,"low outlier","normal"))</f>
        <v>normal</v>
      </c>
    </row>
    <row r="450">
      <c r="A450" s="3" t="s">
        <v>435</v>
      </c>
      <c r="B450" s="3">
        <v>5.0</v>
      </c>
      <c r="C450" s="4">
        <v>0.71</v>
      </c>
      <c r="D450" s="4">
        <v>154.3</v>
      </c>
      <c r="E450" s="7" t="str">
        <f>if(C450&gt;statistics_analysis!$C$15,"high outlier",if(C450&lt;statistics_analysis!$C$14,"low outlier","normal"))</f>
        <v>normal</v>
      </c>
    </row>
    <row r="451">
      <c r="A451" s="3" t="s">
        <v>436</v>
      </c>
      <c r="B451" s="3">
        <v>2.0</v>
      </c>
      <c r="C451" s="4">
        <v>5.41</v>
      </c>
      <c r="D451" s="4">
        <v>68.0</v>
      </c>
      <c r="E451" s="7" t="str">
        <f>if(C451&gt;statistics_analysis!$C$15,"high outlier",if(C451&lt;statistics_analysis!$C$14,"low outlier","normal"))</f>
        <v>normal</v>
      </c>
    </row>
    <row r="452">
      <c r="A452" s="3" t="s">
        <v>437</v>
      </c>
      <c r="B452" s="3">
        <v>5.0</v>
      </c>
      <c r="C452" s="4">
        <v>1.24</v>
      </c>
      <c r="D452" s="4">
        <v>84.6</v>
      </c>
      <c r="E452" s="7" t="str">
        <f>if(C452&gt;statistics_analysis!$C$15,"high outlier",if(C452&lt;statistics_analysis!$C$14,"low outlier","normal"))</f>
        <v>normal</v>
      </c>
    </row>
    <row r="453">
      <c r="A453" s="3" t="s">
        <v>438</v>
      </c>
      <c r="B453" s="3">
        <v>3.0</v>
      </c>
      <c r="C453" s="4">
        <v>9.49</v>
      </c>
      <c r="D453" s="4">
        <v>127.9</v>
      </c>
      <c r="E453" s="7" t="str">
        <f>if(C453&gt;statistics_analysis!$C$15,"high outlier",if(C453&lt;statistics_analysis!$C$14,"low outlier","normal"))</f>
        <v>normal</v>
      </c>
    </row>
    <row r="454">
      <c r="A454" s="3" t="s">
        <v>439</v>
      </c>
      <c r="B454" s="3">
        <v>3.0</v>
      </c>
      <c r="C454" s="4">
        <v>27.88</v>
      </c>
      <c r="D454" s="4">
        <v>197.1</v>
      </c>
      <c r="E454" s="7" t="str">
        <f>if(C454&gt;statistics_analysis!$C$15,"high outlier",if(C454&lt;statistics_analysis!$C$14,"low outlier","normal"))</f>
        <v>normal</v>
      </c>
    </row>
    <row r="455">
      <c r="A455" s="3" t="s">
        <v>440</v>
      </c>
      <c r="B455" s="3">
        <v>5.0</v>
      </c>
      <c r="C455" s="4">
        <v>10.84</v>
      </c>
      <c r="D455" s="4">
        <v>79.3</v>
      </c>
      <c r="E455" s="7" t="str">
        <f>if(C455&gt;statistics_analysis!$C$15,"high outlier",if(C455&lt;statistics_analysis!$C$14,"low outlier","normal"))</f>
        <v>normal</v>
      </c>
    </row>
    <row r="456">
      <c r="A456" s="3" t="s">
        <v>441</v>
      </c>
      <c r="B456" s="3">
        <v>11.0</v>
      </c>
      <c r="C456" s="4">
        <v>0.8</v>
      </c>
      <c r="D456" s="4">
        <v>78.1</v>
      </c>
      <c r="E456" s="7" t="str">
        <f>if(C456&gt;statistics_analysis!$C$15,"high outlier",if(C456&lt;statistics_analysis!$C$14,"low outlier","normal"))</f>
        <v>normal</v>
      </c>
    </row>
    <row r="457">
      <c r="A457" s="3" t="s">
        <v>442</v>
      </c>
      <c r="B457" s="3">
        <v>7.0</v>
      </c>
      <c r="C457" s="4">
        <v>4.38</v>
      </c>
      <c r="D457" s="4">
        <v>130.2</v>
      </c>
      <c r="E457" s="7" t="str">
        <f>if(C457&gt;statistics_analysis!$C$15,"high outlier",if(C457&lt;statistics_analysis!$C$14,"low outlier","normal"))</f>
        <v>normal</v>
      </c>
    </row>
    <row r="458">
      <c r="A458" s="3" t="s">
        <v>443</v>
      </c>
      <c r="B458" s="3">
        <v>7.0</v>
      </c>
      <c r="C458" s="4">
        <v>8.0</v>
      </c>
      <c r="D458" s="4">
        <v>156.1</v>
      </c>
      <c r="E458" s="7" t="str">
        <f>if(C458&gt;statistics_analysis!$C$15,"high outlier",if(C458&lt;statistics_analysis!$C$14,"low outlier","normal"))</f>
        <v>normal</v>
      </c>
    </row>
    <row r="459">
      <c r="A459" s="3" t="s">
        <v>444</v>
      </c>
      <c r="B459" s="3">
        <v>4.0</v>
      </c>
      <c r="C459" s="4">
        <v>5.16</v>
      </c>
      <c r="D459" s="4">
        <v>101.3</v>
      </c>
      <c r="E459" s="7" t="str">
        <f>if(C459&gt;statistics_analysis!$C$15,"high outlier",if(C459&lt;statistics_analysis!$C$14,"low outlier","normal"))</f>
        <v>normal</v>
      </c>
    </row>
    <row r="460">
      <c r="A460" s="3" t="s">
        <v>445</v>
      </c>
      <c r="B460" s="3">
        <v>1.0</v>
      </c>
      <c r="C460" s="4">
        <v>17.94</v>
      </c>
      <c r="D460" s="4">
        <v>71.4</v>
      </c>
      <c r="E460" s="7" t="str">
        <f>if(C460&gt;statistics_analysis!$C$15,"high outlier",if(C460&lt;statistics_analysis!$C$14,"low outlier","normal"))</f>
        <v>normal</v>
      </c>
    </row>
    <row r="461">
      <c r="A461" s="3" t="s">
        <v>446</v>
      </c>
      <c r="B461" s="3">
        <v>4.0</v>
      </c>
      <c r="C461" s="4">
        <v>16.86</v>
      </c>
      <c r="D461" s="4">
        <v>133.0</v>
      </c>
      <c r="E461" s="7" t="str">
        <f>if(C461&gt;statistics_analysis!$C$15,"high outlier",if(C461&lt;statistics_analysis!$C$14,"low outlier","normal"))</f>
        <v>normal</v>
      </c>
    </row>
    <row r="462">
      <c r="A462" s="3" t="s">
        <v>447</v>
      </c>
      <c r="B462" s="3">
        <v>5.0</v>
      </c>
      <c r="C462" s="4">
        <v>9.46</v>
      </c>
      <c r="D462" s="4">
        <v>138.4</v>
      </c>
      <c r="E462" s="7" t="str">
        <f>if(C462&gt;statistics_analysis!$C$15,"high outlier",if(C462&lt;statistics_analysis!$C$14,"low outlier","normal"))</f>
        <v>normal</v>
      </c>
    </row>
    <row r="463">
      <c r="A463" s="3" t="s">
        <v>448</v>
      </c>
      <c r="B463" s="3">
        <v>4.0</v>
      </c>
      <c r="C463" s="4">
        <v>4.68</v>
      </c>
      <c r="D463" s="4">
        <v>173.4</v>
      </c>
      <c r="E463" s="7" t="str">
        <f>if(C463&gt;statistics_analysis!$C$15,"high outlier",if(C463&lt;statistics_analysis!$C$14,"low outlier","normal"))</f>
        <v>normal</v>
      </c>
    </row>
    <row r="464">
      <c r="A464" s="3" t="s">
        <v>449</v>
      </c>
      <c r="B464" s="3">
        <v>4.0</v>
      </c>
      <c r="C464" s="4">
        <v>2.95</v>
      </c>
      <c r="D464" s="4">
        <v>139.7</v>
      </c>
      <c r="E464" s="7" t="str">
        <f>if(C464&gt;statistics_analysis!$C$15,"high outlier",if(C464&lt;statistics_analysis!$C$14,"low outlier","normal"))</f>
        <v>normal</v>
      </c>
    </row>
    <row r="465">
      <c r="A465" s="3" t="s">
        <v>450</v>
      </c>
      <c r="B465" s="3">
        <v>7.0</v>
      </c>
      <c r="C465" s="4">
        <v>1.12</v>
      </c>
      <c r="D465" s="4">
        <v>144.8</v>
      </c>
      <c r="E465" s="7" t="str">
        <f>if(C465&gt;statistics_analysis!$C$15,"high outlier",if(C465&lt;statistics_analysis!$C$14,"low outlier","normal"))</f>
        <v>normal</v>
      </c>
    </row>
    <row r="466">
      <c r="A466" s="3" t="s">
        <v>451</v>
      </c>
      <c r="B466" s="3">
        <v>6.0</v>
      </c>
      <c r="C466" s="4">
        <v>4.38</v>
      </c>
      <c r="D466" s="4">
        <v>112.1</v>
      </c>
      <c r="E466" s="7" t="str">
        <f>if(C466&gt;statistics_analysis!$C$15,"high outlier",if(C466&lt;statistics_analysis!$C$14,"low outlier","normal"))</f>
        <v>normal</v>
      </c>
    </row>
    <row r="467">
      <c r="A467" s="3" t="s">
        <v>452</v>
      </c>
      <c r="B467" s="3">
        <v>8.0</v>
      </c>
      <c r="C467" s="4">
        <v>5.33</v>
      </c>
      <c r="D467" s="4">
        <v>193.2</v>
      </c>
      <c r="E467" s="7" t="str">
        <f>if(C467&gt;statistics_analysis!$C$15,"high outlier",if(C467&lt;statistics_analysis!$C$14,"low outlier","normal"))</f>
        <v>normal</v>
      </c>
    </row>
    <row r="468">
      <c r="A468" s="3" t="s">
        <v>453</v>
      </c>
      <c r="B468" s="3">
        <v>4.0</v>
      </c>
      <c r="C468" s="4">
        <v>11.26</v>
      </c>
      <c r="D468" s="4">
        <v>108.1</v>
      </c>
      <c r="E468" s="7" t="str">
        <f>if(C468&gt;statistics_analysis!$C$15,"high outlier",if(C468&lt;statistics_analysis!$C$14,"low outlier","normal"))</f>
        <v>normal</v>
      </c>
    </row>
    <row r="469">
      <c r="A469" s="3" t="s">
        <v>454</v>
      </c>
      <c r="B469" s="3">
        <v>3.0</v>
      </c>
      <c r="C469" s="4">
        <v>10.73</v>
      </c>
      <c r="D469" s="4">
        <v>101.6</v>
      </c>
      <c r="E469" s="7" t="str">
        <f>if(C469&gt;statistics_analysis!$C$15,"high outlier",if(C469&lt;statistics_analysis!$C$14,"low outlier","normal"))</f>
        <v>normal</v>
      </c>
    </row>
    <row r="470">
      <c r="A470" s="3" t="s">
        <v>455</v>
      </c>
      <c r="B470" s="3">
        <v>0.0</v>
      </c>
      <c r="C470" s="4">
        <v>0.73</v>
      </c>
      <c r="D470" s="4">
        <v>174.3</v>
      </c>
      <c r="E470" s="7" t="str">
        <f>if(C470&gt;statistics_analysis!$C$15,"high outlier",if(C470&lt;statistics_analysis!$C$14,"low outlier","normal"))</f>
        <v>normal</v>
      </c>
    </row>
    <row r="471">
      <c r="A471" s="3" t="s">
        <v>456</v>
      </c>
      <c r="B471" s="3">
        <v>4.0</v>
      </c>
      <c r="C471" s="4">
        <v>5.03</v>
      </c>
      <c r="D471" s="4">
        <v>75.8</v>
      </c>
      <c r="E471" s="7" t="str">
        <f>if(C471&gt;statistics_analysis!$C$15,"high outlier",if(C471&lt;statistics_analysis!$C$14,"low outlier","normal"))</f>
        <v>normal</v>
      </c>
    </row>
    <row r="472">
      <c r="A472" s="3" t="s">
        <v>457</v>
      </c>
      <c r="B472" s="3">
        <v>1.0</v>
      </c>
      <c r="C472" s="4">
        <v>2.01</v>
      </c>
      <c r="D472" s="4">
        <v>64.6</v>
      </c>
      <c r="E472" s="7" t="str">
        <f>if(C472&gt;statistics_analysis!$C$15,"high outlier",if(C472&lt;statistics_analysis!$C$14,"low outlier","normal"))</f>
        <v>normal</v>
      </c>
    </row>
    <row r="473">
      <c r="A473" s="3" t="s">
        <v>458</v>
      </c>
      <c r="B473" s="3">
        <v>4.0</v>
      </c>
      <c r="C473" s="4">
        <v>1.71</v>
      </c>
      <c r="D473" s="4">
        <v>123.6</v>
      </c>
      <c r="E473" s="7" t="str">
        <f>if(C473&gt;statistics_analysis!$C$15,"high outlier",if(C473&lt;statistics_analysis!$C$14,"low outlier","normal"))</f>
        <v>normal</v>
      </c>
    </row>
    <row r="474">
      <c r="A474" s="3" t="s">
        <v>459</v>
      </c>
      <c r="B474" s="3">
        <v>3.0</v>
      </c>
      <c r="C474" s="4">
        <v>17.56</v>
      </c>
      <c r="D474" s="4">
        <v>119.9</v>
      </c>
      <c r="E474" s="7" t="str">
        <f>if(C474&gt;statistics_analysis!$C$15,"high outlier",if(C474&lt;statistics_analysis!$C$14,"low outlier","normal"))</f>
        <v>normal</v>
      </c>
    </row>
    <row r="475">
      <c r="A475" s="3" t="s">
        <v>460</v>
      </c>
      <c r="B475" s="3">
        <v>5.0</v>
      </c>
      <c r="C475" s="4">
        <v>0.43</v>
      </c>
      <c r="D475" s="4">
        <v>113.2</v>
      </c>
      <c r="E475" s="7" t="str">
        <f>if(C475&gt;statistics_analysis!$C$15,"high outlier",if(C475&lt;statistics_analysis!$C$14,"low outlier","normal"))</f>
        <v>normal</v>
      </c>
    </row>
    <row r="476">
      <c r="A476" s="3" t="s">
        <v>461</v>
      </c>
      <c r="B476" s="3">
        <v>6.0</v>
      </c>
      <c r="C476" s="4">
        <v>5.43</v>
      </c>
      <c r="D476" s="4">
        <v>149.8</v>
      </c>
      <c r="E476" s="7" t="str">
        <f>if(C476&gt;statistics_analysis!$C$15,"high outlier",if(C476&lt;statistics_analysis!$C$14,"low outlier","normal"))</f>
        <v>normal</v>
      </c>
    </row>
    <row r="477">
      <c r="A477" s="3" t="s">
        <v>462</v>
      </c>
      <c r="B477" s="3">
        <v>6.0</v>
      </c>
      <c r="C477" s="4">
        <v>1.84</v>
      </c>
      <c r="D477" s="4">
        <v>92.8</v>
      </c>
      <c r="E477" s="7" t="str">
        <f>if(C477&gt;statistics_analysis!$C$15,"high outlier",if(C477&lt;statistics_analysis!$C$14,"low outlier","normal"))</f>
        <v>normal</v>
      </c>
    </row>
    <row r="478">
      <c r="A478" s="3" t="s">
        <v>463</v>
      </c>
      <c r="B478" s="3">
        <v>4.0</v>
      </c>
      <c r="C478" s="4">
        <v>21.15</v>
      </c>
      <c r="D478" s="4">
        <v>121.9</v>
      </c>
      <c r="E478" s="7" t="str">
        <f>if(C478&gt;statistics_analysis!$C$15,"high outlier",if(C478&lt;statistics_analysis!$C$14,"low outlier","normal"))</f>
        <v>normal</v>
      </c>
    </row>
    <row r="479">
      <c r="A479" s="3" t="s">
        <v>464</v>
      </c>
      <c r="B479" s="3">
        <v>4.0</v>
      </c>
      <c r="C479" s="4">
        <v>8.14</v>
      </c>
      <c r="D479" s="4">
        <v>109.2</v>
      </c>
      <c r="E479" s="7" t="str">
        <f>if(C479&gt;statistics_analysis!$C$15,"high outlier",if(C479&lt;statistics_analysis!$C$14,"low outlier","normal"))</f>
        <v>normal</v>
      </c>
    </row>
    <row r="480">
      <c r="A480" s="3" t="s">
        <v>465</v>
      </c>
      <c r="B480" s="3">
        <v>5.0</v>
      </c>
      <c r="C480" s="4">
        <v>2.63</v>
      </c>
      <c r="D480" s="4">
        <v>93.3</v>
      </c>
      <c r="E480" s="7" t="str">
        <f>if(C480&gt;statistics_analysis!$C$15,"high outlier",if(C480&lt;statistics_analysis!$C$14,"low outlier","normal"))</f>
        <v>normal</v>
      </c>
    </row>
    <row r="481">
      <c r="A481" s="3" t="s">
        <v>466</v>
      </c>
      <c r="B481" s="3">
        <v>1.0</v>
      </c>
      <c r="C481" s="4">
        <v>6.98</v>
      </c>
      <c r="D481" s="4">
        <v>118.1</v>
      </c>
      <c r="E481" s="7" t="str">
        <f>if(C481&gt;statistics_analysis!$C$15,"high outlier",if(C481&lt;statistics_analysis!$C$14,"low outlier","normal"))</f>
        <v>normal</v>
      </c>
    </row>
    <row r="482">
      <c r="A482" s="3" t="s">
        <v>467</v>
      </c>
      <c r="B482" s="3">
        <v>9.0</v>
      </c>
      <c r="C482" s="4">
        <v>13.15</v>
      </c>
      <c r="D482" s="4">
        <v>145.6</v>
      </c>
      <c r="E482" s="7" t="str">
        <f>if(C482&gt;statistics_analysis!$C$15,"high outlier",if(C482&lt;statistics_analysis!$C$14,"low outlier","normal"))</f>
        <v>normal</v>
      </c>
    </row>
    <row r="483">
      <c r="A483" s="3" t="s">
        <v>468</v>
      </c>
      <c r="B483" s="3">
        <v>7.0</v>
      </c>
      <c r="C483" s="4">
        <v>31.73</v>
      </c>
      <c r="D483" s="4">
        <v>183.6</v>
      </c>
      <c r="E483" s="7" t="str">
        <f>if(C483&gt;statistics_analysis!$C$15,"high outlier",if(C483&lt;statistics_analysis!$C$14,"low outlier","normal"))</f>
        <v>high outlier</v>
      </c>
    </row>
    <row r="484">
      <c r="A484" s="3" t="s">
        <v>469</v>
      </c>
      <c r="B484" s="3">
        <v>5.0</v>
      </c>
      <c r="C484" s="4">
        <v>2.49</v>
      </c>
      <c r="D484" s="4">
        <v>137.4</v>
      </c>
      <c r="E484" s="7" t="str">
        <f>if(C484&gt;statistics_analysis!$C$15,"high outlier",if(C484&lt;statistics_analysis!$C$14,"low outlier","normal"))</f>
        <v>normal</v>
      </c>
    </row>
    <row r="485">
      <c r="A485" s="3" t="s">
        <v>470</v>
      </c>
      <c r="B485" s="3">
        <v>4.0</v>
      </c>
      <c r="C485" s="4">
        <v>21.73</v>
      </c>
      <c r="D485" s="4">
        <v>44.7</v>
      </c>
      <c r="E485" s="7" t="str">
        <f>if(C485&gt;statistics_analysis!$C$15,"high outlier",if(C485&lt;statistics_analysis!$C$14,"low outlier","normal"))</f>
        <v>normal</v>
      </c>
    </row>
    <row r="486">
      <c r="A486" s="3" t="s">
        <v>471</v>
      </c>
      <c r="B486" s="3">
        <v>5.0</v>
      </c>
      <c r="C486" s="4">
        <v>27.23</v>
      </c>
      <c r="D486" s="4">
        <v>118.9</v>
      </c>
      <c r="E486" s="7" t="str">
        <f>if(C486&gt;statistics_analysis!$C$15,"high outlier",if(C486&lt;statistics_analysis!$C$14,"low outlier","normal"))</f>
        <v>normal</v>
      </c>
    </row>
    <row r="487">
      <c r="A487" s="3" t="s">
        <v>472</v>
      </c>
      <c r="B487" s="3">
        <v>4.0</v>
      </c>
      <c r="C487" s="4">
        <v>24.82</v>
      </c>
      <c r="D487" s="4">
        <v>121.5</v>
      </c>
      <c r="E487" s="7" t="str">
        <f>if(C487&gt;statistics_analysis!$C$15,"high outlier",if(C487&lt;statistics_analysis!$C$14,"low outlier","normal"))</f>
        <v>normal</v>
      </c>
    </row>
    <row r="488">
      <c r="A488" s="3" t="s">
        <v>473</v>
      </c>
      <c r="B488" s="3">
        <v>1.0</v>
      </c>
      <c r="C488" s="4">
        <v>10.09</v>
      </c>
      <c r="D488" s="4">
        <v>148.1</v>
      </c>
      <c r="E488" s="7" t="str">
        <f>if(C488&gt;statistics_analysis!$C$15,"high outlier",if(C488&lt;statistics_analysis!$C$14,"low outlier","normal"))</f>
        <v>normal</v>
      </c>
    </row>
    <row r="489">
      <c r="A489" s="3" t="s">
        <v>474</v>
      </c>
      <c r="B489" s="3">
        <v>3.0</v>
      </c>
      <c r="C489" s="4">
        <v>9.94</v>
      </c>
      <c r="D489" s="4">
        <v>125.5</v>
      </c>
      <c r="E489" s="7" t="str">
        <f>if(C489&gt;statistics_analysis!$C$15,"high outlier",if(C489&lt;statistics_analysis!$C$14,"low outlier","normal"))</f>
        <v>normal</v>
      </c>
    </row>
    <row r="490">
      <c r="A490" s="3" t="s">
        <v>475</v>
      </c>
      <c r="B490" s="3">
        <v>7.0</v>
      </c>
      <c r="C490" s="4">
        <v>5.16</v>
      </c>
      <c r="D490" s="4">
        <v>157.6</v>
      </c>
      <c r="E490" s="7" t="str">
        <f>if(C490&gt;statistics_analysis!$C$15,"high outlier",if(C490&lt;statistics_analysis!$C$14,"low outlier","normal"))</f>
        <v>normal</v>
      </c>
    </row>
    <row r="491">
      <c r="A491" s="3" t="s">
        <v>476</v>
      </c>
      <c r="B491" s="3">
        <v>6.0</v>
      </c>
      <c r="C491" s="4">
        <v>13.96</v>
      </c>
      <c r="D491" s="4">
        <v>131.8</v>
      </c>
      <c r="E491" s="7" t="str">
        <f>if(C491&gt;statistics_analysis!$C$15,"high outlier",if(C491&lt;statistics_analysis!$C$14,"low outlier","normal"))</f>
        <v>normal</v>
      </c>
    </row>
    <row r="492">
      <c r="A492" s="3">
        <v>3.5000267E7</v>
      </c>
      <c r="B492" s="3">
        <v>10.0</v>
      </c>
      <c r="C492" s="4">
        <v>7.58</v>
      </c>
      <c r="D492" s="4">
        <v>166.8</v>
      </c>
      <c r="E492" s="7" t="str">
        <f>if(C492&gt;statistics_analysis!$C$15,"high outlier",if(C492&lt;statistics_analysis!$C$14,"low outlier","normal"))</f>
        <v>normal</v>
      </c>
    </row>
    <row r="493">
      <c r="A493" s="3" t="s">
        <v>477</v>
      </c>
      <c r="B493" s="3">
        <v>4.0</v>
      </c>
      <c r="C493" s="4">
        <v>11.31</v>
      </c>
      <c r="D493" s="4">
        <v>106.8</v>
      </c>
      <c r="E493" s="7" t="str">
        <f>if(C493&gt;statistics_analysis!$C$15,"high outlier",if(C493&lt;statistics_analysis!$C$14,"low outlier","normal"))</f>
        <v>normal</v>
      </c>
    </row>
    <row r="494">
      <c r="A494" s="3" t="s">
        <v>478</v>
      </c>
      <c r="B494" s="3">
        <v>5.0</v>
      </c>
      <c r="C494" s="4">
        <v>5.59</v>
      </c>
      <c r="D494" s="4">
        <v>124.3</v>
      </c>
      <c r="E494" s="7" t="str">
        <f>if(C494&gt;statistics_analysis!$C$15,"high outlier",if(C494&lt;statistics_analysis!$C$14,"low outlier","normal"))</f>
        <v>normal</v>
      </c>
    </row>
    <row r="495">
      <c r="A495" s="3" t="s">
        <v>479</v>
      </c>
      <c r="B495" s="3">
        <v>6.0</v>
      </c>
      <c r="C495" s="4">
        <v>13.15</v>
      </c>
      <c r="D495" s="4">
        <v>144.8</v>
      </c>
      <c r="E495" s="7" t="str">
        <f>if(C495&gt;statistics_analysis!$C$15,"high outlier",if(C495&lt;statistics_analysis!$C$14,"low outlier","normal"))</f>
        <v>normal</v>
      </c>
    </row>
    <row r="496">
      <c r="A496" s="3" t="s">
        <v>480</v>
      </c>
      <c r="B496" s="3">
        <v>6.0</v>
      </c>
      <c r="C496" s="4">
        <v>17.4</v>
      </c>
      <c r="D496" s="4">
        <v>102.8</v>
      </c>
      <c r="E496" s="7" t="str">
        <f>if(C496&gt;statistics_analysis!$C$15,"high outlier",if(C496&lt;statistics_analysis!$C$14,"low outlier","normal"))</f>
        <v>normal</v>
      </c>
    </row>
    <row r="497">
      <c r="A497" s="3" t="s">
        <v>481</v>
      </c>
      <c r="B497" s="3">
        <v>8.0</v>
      </c>
      <c r="C497" s="4">
        <v>1.58</v>
      </c>
      <c r="D497" s="4">
        <v>96.3</v>
      </c>
      <c r="E497" s="7" t="str">
        <f>if(C497&gt;statistics_analysis!$C$15,"high outlier",if(C497&lt;statistics_analysis!$C$14,"low outlier","normal"))</f>
        <v>normal</v>
      </c>
    </row>
    <row r="498">
      <c r="A498" s="3" t="s">
        <v>482</v>
      </c>
      <c r="B498" s="3">
        <v>4.0</v>
      </c>
      <c r="C498" s="4">
        <v>17.89</v>
      </c>
      <c r="D498" s="4">
        <v>101.1</v>
      </c>
      <c r="E498" s="7" t="str">
        <f>if(C498&gt;statistics_analysis!$C$15,"high outlier",if(C498&lt;statistics_analysis!$C$14,"low outlier","normal"))</f>
        <v>normal</v>
      </c>
    </row>
    <row r="499">
      <c r="A499" s="3" t="s">
        <v>483</v>
      </c>
      <c r="B499" s="3">
        <v>3.0</v>
      </c>
      <c r="C499" s="4">
        <v>7.77</v>
      </c>
      <c r="D499" s="4">
        <v>97.5</v>
      </c>
      <c r="E499" s="7" t="str">
        <f>if(C499&gt;statistics_analysis!$C$15,"high outlier",if(C499&lt;statistics_analysis!$C$14,"low outlier","normal"))</f>
        <v>normal</v>
      </c>
    </row>
    <row r="500">
      <c r="A500" s="3" t="s">
        <v>484</v>
      </c>
      <c r="B500" s="3">
        <v>3.0</v>
      </c>
      <c r="C500" s="4">
        <v>18.62</v>
      </c>
      <c r="D500" s="4">
        <v>135.7</v>
      </c>
      <c r="E500" s="7" t="str">
        <f>if(C500&gt;statistics_analysis!$C$15,"high outlier",if(C500&lt;statistics_analysis!$C$14,"low outlier","normal"))</f>
        <v>normal</v>
      </c>
    </row>
    <row r="501">
      <c r="A501" s="3" t="s">
        <v>485</v>
      </c>
      <c r="B501" s="3">
        <v>9.0</v>
      </c>
      <c r="C501" s="4">
        <v>5.64</v>
      </c>
      <c r="D501" s="4">
        <v>65.0</v>
      </c>
      <c r="E501" s="7" t="str">
        <f>if(C501&gt;statistics_analysis!$C$15,"high outlier",if(C501&lt;statistics_analysis!$C$14,"low outlier","normal"))</f>
        <v>normal</v>
      </c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  <row r="998">
      <c r="C998" s="6"/>
      <c r="D998" s="6"/>
    </row>
    <row r="999">
      <c r="C999" s="6"/>
      <c r="D999" s="6"/>
    </row>
    <row r="1000">
      <c r="C1000" s="6"/>
      <c r="D1000" s="6"/>
    </row>
  </sheetData>
  <autoFilter ref="$A$1:$E$5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3" width="15.75"/>
    <col customWidth="1" min="4" max="4" width="20.63"/>
  </cols>
  <sheetData>
    <row r="1">
      <c r="A1" s="8"/>
      <c r="B1" s="9" t="s">
        <v>1</v>
      </c>
      <c r="C1" s="10" t="s">
        <v>2</v>
      </c>
      <c r="D1" s="10" t="s">
        <v>3</v>
      </c>
      <c r="F1" s="11" t="s">
        <v>487</v>
      </c>
      <c r="G1" s="8"/>
    </row>
    <row r="2">
      <c r="A2" s="11" t="s">
        <v>488</v>
      </c>
      <c r="B2" s="12">
        <f>AVERAGE(raw_data!B2:B501)</f>
        <v>4.974</v>
      </c>
      <c r="C2" s="12">
        <f>AVERAGE(raw_data!C2:C501)</f>
        <v>10.06386</v>
      </c>
      <c r="D2" s="12">
        <f>AVERAGE(raw_data!D2:D501)</f>
        <v>119.9864</v>
      </c>
      <c r="F2" s="13" t="s">
        <v>489</v>
      </c>
      <c r="G2" s="8"/>
    </row>
    <row r="3">
      <c r="A3" s="11" t="s">
        <v>490</v>
      </c>
      <c r="B3" s="12">
        <f>MEDIAN(raw_data!B2:B501)</f>
        <v>5</v>
      </c>
      <c r="C3" s="12">
        <f>MEDIAN(raw_data!C2:C501)</f>
        <v>6.71</v>
      </c>
      <c r="D3" s="12">
        <f>MEDIAN(raw_data!D2:D501)</f>
        <v>119.55</v>
      </c>
      <c r="F3" s="14" t="s">
        <v>491</v>
      </c>
      <c r="G3" s="14">
        <f>countif(raw_data_edited!$E$2:$E$501,F3)</f>
        <v>23</v>
      </c>
    </row>
    <row r="4">
      <c r="A4" s="11" t="s">
        <v>492</v>
      </c>
      <c r="B4" s="12">
        <f>MODE(raw_data!B2:B501)</f>
        <v>4</v>
      </c>
      <c r="C4" s="12">
        <f>MODE(raw_data!C2:C501)</f>
        <v>4.38</v>
      </c>
      <c r="D4" s="12">
        <f>MODE(raw_data!D2:D501)</f>
        <v>109.2</v>
      </c>
      <c r="F4" s="14" t="s">
        <v>493</v>
      </c>
      <c r="G4" s="14">
        <f>countif(raw_data_edited!$E$2:$E$501,F4)</f>
        <v>477</v>
      </c>
    </row>
    <row r="5">
      <c r="A5" s="11" t="s">
        <v>494</v>
      </c>
      <c r="B5" s="12">
        <f>min(raw_data!B2:B501)</f>
        <v>0</v>
      </c>
      <c r="C5" s="12">
        <f>min(raw_data!C2:C501)</f>
        <v>0.01</v>
      </c>
      <c r="D5" s="12">
        <f>min(raw_data!D2:D501)</f>
        <v>40.1</v>
      </c>
    </row>
    <row r="6">
      <c r="A6" s="11" t="s">
        <v>495</v>
      </c>
      <c r="B6" s="12">
        <f>MAX(raw_data!B2:B501)</f>
        <v>12</v>
      </c>
      <c r="C6" s="12">
        <f>MAX(raw_data!C2:C501)</f>
        <v>77.24</v>
      </c>
      <c r="D6" s="12">
        <f>MAX(raw_data!D2:D501)</f>
        <v>203</v>
      </c>
      <c r="F6" s="15" t="s">
        <v>496</v>
      </c>
    </row>
    <row r="7">
      <c r="A7" s="16" t="s">
        <v>497</v>
      </c>
      <c r="B7" s="12">
        <f>STDEV(raw_data!B2:B501)</f>
        <v>2.261759295</v>
      </c>
      <c r="C7" s="12">
        <f>STDEV(raw_data!C2:C501)</f>
        <v>10.40266777</v>
      </c>
      <c r="D7" s="12">
        <f>STDEV(raw_data!D2:D501)</f>
        <v>30.98328037</v>
      </c>
    </row>
    <row r="8">
      <c r="A8" s="8"/>
      <c r="B8" s="17"/>
      <c r="C8" s="8"/>
      <c r="D8" s="8"/>
    </row>
    <row r="9">
      <c r="A9" s="11" t="s">
        <v>498</v>
      </c>
      <c r="B9" s="12">
        <f>QUARTILE(raw_data!B2:B501,1)</f>
        <v>3</v>
      </c>
      <c r="C9" s="12">
        <f>QUARTILE(raw_data!C2:C501,1)</f>
        <v>2.8125</v>
      </c>
      <c r="D9" s="12">
        <f>QUARTILE(raw_data!D2:D501,1)</f>
        <v>99.025</v>
      </c>
    </row>
    <row r="10">
      <c r="A10" s="11" t="s">
        <v>499</v>
      </c>
      <c r="B10" s="12">
        <f>QUARTILE(raw_data!B2:B501,2)</f>
        <v>5</v>
      </c>
      <c r="C10" s="12">
        <f>QUARTILE(raw_data!C2:C501,2)</f>
        <v>6.71</v>
      </c>
      <c r="D10" s="12">
        <f>QUARTILE(raw_data!D2:D501,2)</f>
        <v>119.55</v>
      </c>
    </row>
    <row r="11">
      <c r="A11" s="11" t="s">
        <v>500</v>
      </c>
      <c r="B11" s="12">
        <f>QUARTILE(raw_data!B2:B501,3)</f>
        <v>6</v>
      </c>
      <c r="C11" s="12">
        <f>QUARTILE(raw_data!C2:C501,3)</f>
        <v>14.05</v>
      </c>
      <c r="D11" s="12">
        <f>QUARTILE(raw_data!D2:D501,3)</f>
        <v>141.15</v>
      </c>
    </row>
    <row r="12">
      <c r="A12" s="11" t="s">
        <v>501</v>
      </c>
      <c r="B12" s="12">
        <f t="shared" ref="B12:D12" si="1">B11-B9</f>
        <v>3</v>
      </c>
      <c r="C12" s="12">
        <f t="shared" si="1"/>
        <v>11.2375</v>
      </c>
      <c r="D12" s="12">
        <f t="shared" si="1"/>
        <v>42.125</v>
      </c>
    </row>
    <row r="13">
      <c r="A13" s="8"/>
      <c r="B13" s="17"/>
      <c r="C13" s="8"/>
      <c r="D13" s="8"/>
    </row>
    <row r="14">
      <c r="A14" s="11" t="s">
        <v>502</v>
      </c>
      <c r="B14" s="12">
        <f t="shared" ref="B14:D14" si="2">B9-1.5*B12</f>
        <v>-1.5</v>
      </c>
      <c r="C14" s="12">
        <f t="shared" si="2"/>
        <v>-14.04375</v>
      </c>
      <c r="D14" s="12">
        <f t="shared" si="2"/>
        <v>35.8375</v>
      </c>
    </row>
    <row r="15">
      <c r="A15" s="18" t="s">
        <v>503</v>
      </c>
      <c r="B15" s="12">
        <f t="shared" ref="B15:D15" si="3">B11+1.5*B12</f>
        <v>10.5</v>
      </c>
      <c r="C15" s="12">
        <f t="shared" si="3"/>
        <v>30.90625</v>
      </c>
      <c r="D15" s="12">
        <f t="shared" si="3"/>
        <v>204.3375</v>
      </c>
    </row>
    <row r="16">
      <c r="A16" s="19"/>
      <c r="B16" s="20" t="s">
        <v>504</v>
      </c>
      <c r="C16" s="19"/>
      <c r="D16" s="19"/>
    </row>
    <row r="20">
      <c r="F20" s="15" t="s">
        <v>505</v>
      </c>
    </row>
    <row r="29">
      <c r="N29" s="21"/>
      <c r="O29" s="21"/>
      <c r="P29" s="21"/>
      <c r="Q29" s="21"/>
      <c r="R29" s="21"/>
    </row>
    <row r="30">
      <c r="N30" s="22"/>
      <c r="O30" s="22"/>
      <c r="P30" s="22"/>
      <c r="Q30" s="22"/>
      <c r="R30" s="22"/>
    </row>
    <row r="35">
      <c r="E35" s="23" t="s">
        <v>494</v>
      </c>
      <c r="F35" s="23" t="s">
        <v>498</v>
      </c>
      <c r="G35" s="23" t="s">
        <v>490</v>
      </c>
      <c r="H35" s="23" t="s">
        <v>500</v>
      </c>
      <c r="I35" s="23" t="s">
        <v>495</v>
      </c>
    </row>
    <row r="36">
      <c r="D36" s="23" t="s">
        <v>1</v>
      </c>
      <c r="E36" s="24">
        <v>0.0</v>
      </c>
      <c r="F36" s="25">
        <f>B9</f>
        <v>3</v>
      </c>
      <c r="G36" s="23">
        <v>5.0</v>
      </c>
      <c r="H36" s="25">
        <f>B11</f>
        <v>6</v>
      </c>
      <c r="I36" s="25">
        <f>B6</f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67.0"/>
  </cols>
  <sheetData>
    <row r="1">
      <c r="A1" s="26" t="s">
        <v>506</v>
      </c>
      <c r="B1" s="27">
        <f>statistics_analysis!C2</f>
        <v>10.06386</v>
      </c>
    </row>
    <row r="2">
      <c r="A2" s="26" t="s">
        <v>507</v>
      </c>
      <c r="B2" s="28" t="s">
        <v>508</v>
      </c>
    </row>
    <row r="3">
      <c r="A3" s="26" t="s">
        <v>509</v>
      </c>
      <c r="B3" s="28">
        <v>23.0</v>
      </c>
    </row>
    <row r="4">
      <c r="A4" s="26" t="s">
        <v>510</v>
      </c>
      <c r="B4" s="28" t="s">
        <v>511</v>
      </c>
    </row>
    <row r="5">
      <c r="A5" s="26" t="s">
        <v>512</v>
      </c>
      <c r="B5" s="28" t="s">
        <v>245</v>
      </c>
    </row>
    <row r="6">
      <c r="A6" s="26" t="s">
        <v>513</v>
      </c>
      <c r="B6" s="29" t="s">
        <v>514</v>
      </c>
    </row>
    <row r="7">
      <c r="A7" s="26" t="s">
        <v>515</v>
      </c>
      <c r="B7" s="30" t="s">
        <v>516</v>
      </c>
    </row>
    <row r="8">
      <c r="A8" s="26" t="s">
        <v>517</v>
      </c>
      <c r="B8" s="30" t="s">
        <v>518</v>
      </c>
    </row>
  </sheetData>
  <dataValidations>
    <dataValidation type="list" allowBlank="1" showErrorMessage="1" sqref="B4">
      <formula1>"Всі низькі,Немає викидів,Всі високі викиди"</formula1>
    </dataValidation>
    <dataValidation type="list" allowBlank="1" showErrorMessage="1" sqref="B2">
      <formula1>"Ні,Так,Однакові"</formula1>
    </dataValidation>
  </dataValidations>
  <drawing r:id="rId1"/>
</worksheet>
</file>